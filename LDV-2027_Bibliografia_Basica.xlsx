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fí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olicitud_Biblioteca" sheetId="3" state="visible" r:id="rId3"/>
    <sheet xmlns:r="http://schemas.openxmlformats.org/officeDocument/2006/relationships" name="Catálogo_CRGS" sheetId="4" state="visible" r:id="rId4"/>
    <sheet xmlns:r="http://schemas.openxmlformats.org/officeDocument/2006/relationships" name="Valid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11827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</font>
    <font>
      <name val="Calibri"/>
      <sz val="10"/>
    </font>
    <font>
      <name val="Calibri"/>
      <b val="1"/>
      <sz val="10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4" customWidth="1" min="4" max="4"/>
    <col width="18" customWidth="1" min="5" max="5"/>
    <col width="5" customWidth="1" min="6" max="6"/>
    <col width="22" customWidth="1" min="7" max="7"/>
    <col width="38" customWidth="1" min="8" max="8"/>
    <col width="18" customWidth="1" min="9" max="9"/>
    <col width="7" customWidth="1" min="10" max="10"/>
    <col width="10" customWidth="1" min="11" max="11"/>
    <col width="18" customWidth="1" min="12" max="12"/>
    <col width="9" customWidth="1" min="13" max="13"/>
    <col width="14" customWidth="1" min="14" max="14"/>
    <col width="14" customWidth="1" min="15" max="15"/>
    <col width="18" customWidth="1" min="16" max="16"/>
    <col width="14" customWidth="1" min="17" max="17"/>
    <col width="26" customWidth="1" min="18" max="18"/>
  </cols>
  <sheetData>
    <row r="1" ht="30" customHeight="1">
      <c r="A1" s="1" t="inlineStr">
        <is>
          <t>LDV 2027 · BIBLIOGRAFÍA BÁSICA POR MATERIA</t>
        </is>
      </c>
    </row>
    <row r="3" ht="32" customHeight="1">
      <c r="A3" s="2" t="inlineStr">
        <is>
          <t>Sem</t>
        </is>
      </c>
      <c r="B3" s="2" t="inlineStr">
        <is>
          <t>Clave</t>
        </is>
      </c>
      <c r="C3" s="2" t="inlineStr">
        <is>
          <t>Materia</t>
        </is>
      </c>
      <c r="D3" s="2" t="inlineStr">
        <is>
          <t>Tipo</t>
        </is>
      </c>
      <c r="E3" s="2" t="inlineStr">
        <is>
          <t>Eje</t>
        </is>
      </c>
      <c r="F3" s="2" t="inlineStr">
        <is>
          <t>Cr</t>
        </is>
      </c>
      <c r="G3" s="2" t="inlineStr">
        <is>
          <t>Autor</t>
        </is>
      </c>
      <c r="H3" s="2" t="inlineStr">
        <is>
          <t>Título</t>
        </is>
      </c>
      <c r="I3" s="2" t="inlineStr">
        <is>
          <t>Editorial</t>
        </is>
      </c>
      <c r="J3" s="2" t="inlineStr">
        <is>
          <t>Año</t>
        </is>
      </c>
      <c r="K3" s="2" t="inlineStr">
        <is>
          <t>Edición</t>
        </is>
      </c>
      <c r="L3" s="2" t="inlineStr">
        <is>
          <t>ISBN</t>
        </is>
      </c>
      <c r="M3" s="2" t="inlineStr">
        <is>
          <t>Idioma</t>
        </is>
      </c>
      <c r="N3" s="2" t="inlineStr">
        <is>
          <t>Tipo de fuente</t>
        </is>
      </c>
      <c r="O3" s="2" t="inlineStr">
        <is>
          <t>Carácter</t>
        </is>
      </c>
      <c r="P3" s="2" t="inlineStr">
        <is>
          <t>Disponible en Biblioteca</t>
        </is>
      </c>
      <c r="Q3" s="2" t="inlineStr">
        <is>
          <t>Acción</t>
        </is>
      </c>
      <c r="R3" s="2" t="inlineStr">
        <is>
          <t>Notas</t>
        </is>
      </c>
    </row>
    <row r="4">
      <c r="A4" s="3" t="n">
        <v>1</v>
      </c>
      <c r="B4" s="3" t="inlineStr">
        <is>
          <t>DV 1 NNN</t>
        </is>
      </c>
      <c r="C4" s="3" t="inlineStr">
        <is>
          <t>Estudio de principios y composición visual</t>
        </is>
      </c>
      <c r="D4" s="3" t="inlineStr">
        <is>
          <t>Estudio</t>
        </is>
      </c>
      <c r="E4" s="3" t="inlineStr">
        <is>
          <t>Profesional</t>
        </is>
      </c>
      <c r="F4" s="3" t="inlineStr">
        <is>
          <t>12</t>
        </is>
      </c>
      <c r="G4" s="3" t="inlineStr">
        <is>
          <t>Acaso, María</t>
        </is>
      </c>
      <c r="H4" s="3" t="inlineStr">
        <is>
          <t>El lenguaje visual</t>
        </is>
      </c>
      <c r="I4" s="3" t="inlineStr">
        <is>
          <t>Paidós Ibérica</t>
        </is>
      </c>
      <c r="J4" s="3" t="inlineStr">
        <is>
          <t>2020</t>
        </is>
      </c>
      <c r="K4" s="3" t="inlineStr">
        <is>
          <t>1ª</t>
        </is>
      </c>
      <c r="L4" s="3" t="inlineStr">
        <is>
          <t>978-8449336225</t>
        </is>
      </c>
      <c r="M4" s="3" t="inlineStr">
        <is>
          <t>Español</t>
        </is>
      </c>
      <c r="N4" s="3" t="inlineStr">
        <is>
          <t>Libro</t>
        </is>
      </c>
      <c r="O4" s="3" t="inlineStr">
        <is>
          <t>Básica</t>
        </is>
      </c>
      <c r="P4" s="3" t="n"/>
      <c r="Q4" s="3" t="n"/>
      <c r="R4" s="3" t="n"/>
    </row>
    <row r="5">
      <c r="A5" s="4" t="n">
        <v>1</v>
      </c>
      <c r="B5" s="4" t="inlineStr">
        <is>
          <t>DV 1 NNN</t>
        </is>
      </c>
      <c r="C5" s="4" t="inlineStr">
        <is>
          <t>Estudio de principios y composición visual</t>
        </is>
      </c>
      <c r="D5" s="4" t="inlineStr">
        <is>
          <t>Estudio</t>
        </is>
      </c>
      <c r="E5" s="4" t="inlineStr">
        <is>
          <t>Profesional</t>
        </is>
      </c>
      <c r="F5" s="4" t="inlineStr">
        <is>
          <t>12</t>
        </is>
      </c>
      <c r="G5" s="4" t="inlineStr">
        <is>
          <t>Wong, Wucius</t>
        </is>
      </c>
      <c r="H5" s="4" t="inlineStr">
        <is>
          <t>Fundamentos del diseño</t>
        </is>
      </c>
      <c r="I5" s="4" t="inlineStr">
        <is>
          <t>Gustavo Gili</t>
        </is>
      </c>
      <c r="J5" s="4" t="inlineStr">
        <is>
          <t>2011</t>
        </is>
      </c>
      <c r="K5" s="4" t="inlineStr">
        <is>
          <t>2ª</t>
        </is>
      </c>
      <c r="L5" s="4" t="inlineStr">
        <is>
          <t>978-8425218439</t>
        </is>
      </c>
      <c r="M5" s="4" t="inlineStr">
        <is>
          <t>Español</t>
        </is>
      </c>
      <c r="N5" s="4" t="inlineStr">
        <is>
          <t>Libro</t>
        </is>
      </c>
      <c r="O5" s="4" t="inlineStr">
        <is>
          <t>Básica</t>
        </is>
      </c>
      <c r="P5" s="4" t="n"/>
      <c r="Q5" s="4" t="n"/>
      <c r="R5" s="4" t="n"/>
    </row>
    <row r="6">
      <c r="A6" s="4" t="n">
        <v>1</v>
      </c>
      <c r="B6" s="4" t="inlineStr">
        <is>
          <t>DV 1 NNN</t>
        </is>
      </c>
      <c r="C6" s="4" t="inlineStr">
        <is>
          <t>Estudio de principios y composición visual</t>
        </is>
      </c>
      <c r="D6" s="4" t="inlineStr">
        <is>
          <t>Estudio</t>
        </is>
      </c>
      <c r="E6" s="4" t="inlineStr">
        <is>
          <t>Profesional</t>
        </is>
      </c>
      <c r="F6" s="4" t="inlineStr">
        <is>
          <t>12</t>
        </is>
      </c>
      <c r="G6" s="4" t="inlineStr">
        <is>
          <t>Munari, Bruno</t>
        </is>
      </c>
      <c r="H6" s="4" t="inlineStr">
        <is>
          <t>Diseño y comunicación visual: contribución a una metodología didáctica</t>
        </is>
      </c>
      <c r="I6" s="4" t="inlineStr">
        <is>
          <t>Gustavo Gili</t>
        </is>
      </c>
      <c r="J6" s="4" t="inlineStr">
        <is>
          <t>2016</t>
        </is>
      </c>
      <c r="K6" s="4" t="inlineStr">
        <is>
          <t>1ª</t>
        </is>
      </c>
      <c r="L6" s="4" t="inlineStr">
        <is>
          <t>978-8425228780</t>
        </is>
      </c>
      <c r="M6" s="4" t="inlineStr">
        <is>
          <t>Español</t>
        </is>
      </c>
      <c r="N6" s="4" t="inlineStr">
        <is>
          <t>Libro</t>
        </is>
      </c>
      <c r="O6" s="4" t="inlineStr">
        <is>
          <t>Básica</t>
        </is>
      </c>
      <c r="P6" s="4" t="n"/>
      <c r="Q6" s="4" t="n"/>
      <c r="R6" s="4" t="n"/>
    </row>
    <row r="7">
      <c r="A7" s="4" t="n">
        <v>1</v>
      </c>
      <c r="B7" s="4" t="inlineStr">
        <is>
          <t>DV 1 NNN</t>
        </is>
      </c>
      <c r="C7" s="4" t="inlineStr">
        <is>
          <t>Estudio de principios y composición visual</t>
        </is>
      </c>
      <c r="D7" s="4" t="inlineStr">
        <is>
          <t>Estudio</t>
        </is>
      </c>
      <c r="E7" s="4" t="inlineStr">
        <is>
          <t>Profesional</t>
        </is>
      </c>
      <c r="F7" s="4" t="inlineStr">
        <is>
          <t>12</t>
        </is>
      </c>
      <c r="G7" s="4" t="inlineStr">
        <is>
          <t>Lupton, Ellen; Cole Phillips, Jennifer</t>
        </is>
      </c>
      <c r="H7" s="4" t="inlineStr">
        <is>
          <t>Diseño gráfico. Nuevos fundamentos</t>
        </is>
      </c>
      <c r="I7" s="4" t="inlineStr">
        <is>
          <t>Gustavo Gili</t>
        </is>
      </c>
      <c r="J7" s="4" t="inlineStr">
        <is>
          <t>2016</t>
        </is>
      </c>
      <c r="K7" s="4" t="inlineStr">
        <is>
          <t>2ª</t>
        </is>
      </c>
      <c r="L7" s="4" t="inlineStr">
        <is>
          <t>978-8425229312</t>
        </is>
      </c>
      <c r="M7" s="4" t="inlineStr">
        <is>
          <t>Español</t>
        </is>
      </c>
      <c r="N7" s="4" t="inlineStr">
        <is>
          <t>Libro</t>
        </is>
      </c>
      <c r="O7" s="4" t="inlineStr">
        <is>
          <t>Básica</t>
        </is>
      </c>
      <c r="P7" s="4" t="n"/>
      <c r="Q7" s="4" t="n"/>
      <c r="R7" s="4" t="n"/>
    </row>
    <row r="8">
      <c r="A8" s="4" t="n">
        <v>1</v>
      </c>
      <c r="B8" s="4" t="inlineStr">
        <is>
          <t>DV 1 NNN</t>
        </is>
      </c>
      <c r="C8" s="4" t="inlineStr">
        <is>
          <t>Estudio de principios y composición visual</t>
        </is>
      </c>
      <c r="D8" s="4" t="inlineStr">
        <is>
          <t>Estudio</t>
        </is>
      </c>
      <c r="E8" s="4" t="inlineStr">
        <is>
          <t>Profesional</t>
        </is>
      </c>
      <c r="F8" s="4" t="inlineStr">
        <is>
          <t>12</t>
        </is>
      </c>
      <c r="G8" s="4" t="inlineStr">
        <is>
          <t>Arnheim, Rudolf</t>
        </is>
      </c>
      <c r="H8" s="4" t="inlineStr">
        <is>
          <t>El poder del centro: un estudio sobre la composición en las artes visuales</t>
        </is>
      </c>
      <c r="I8" s="4" t="inlineStr">
        <is>
          <t>Akal</t>
        </is>
      </c>
      <c r="J8" s="4" t="inlineStr">
        <is>
          <t>2001</t>
        </is>
      </c>
      <c r="K8" s="4" t="inlineStr">
        <is>
          <t>1ª</t>
        </is>
      </c>
      <c r="L8" s="4" t="inlineStr">
        <is>
          <t>978-8446008248</t>
        </is>
      </c>
      <c r="M8" s="4" t="inlineStr">
        <is>
          <t>Español</t>
        </is>
      </c>
      <c r="N8" s="4" t="inlineStr">
        <is>
          <t>Libro</t>
        </is>
      </c>
      <c r="O8" s="4" t="inlineStr">
        <is>
          <t>Básica</t>
        </is>
      </c>
      <c r="P8" s="4" t="n"/>
      <c r="Q8" s="4" t="n"/>
      <c r="R8" s="4" t="n"/>
    </row>
    <row r="9">
      <c r="A9" s="4" t="n">
        <v>1</v>
      </c>
      <c r="B9" s="4" t="inlineStr">
        <is>
          <t>DV 1 NNN</t>
        </is>
      </c>
      <c r="C9" s="4" t="inlineStr">
        <is>
          <t>Estudio de principios y composición visual</t>
        </is>
      </c>
      <c r="D9" s="4" t="inlineStr">
        <is>
          <t>Estudio</t>
        </is>
      </c>
      <c r="E9" s="4" t="inlineStr">
        <is>
          <t>Profesional</t>
        </is>
      </c>
      <c r="F9" s="4" t="inlineStr">
        <is>
          <t>12</t>
        </is>
      </c>
      <c r="G9" s="4" t="inlineStr">
        <is>
          <t>Gubern, Román</t>
        </is>
      </c>
      <c r="H9" s="4" t="inlineStr">
        <is>
          <t>La mirada opulenta: exploración de la iconosfera contemporánea</t>
        </is>
      </c>
      <c r="I9" s="4" t="inlineStr">
        <is>
          <t>Gustavo Gili</t>
        </is>
      </c>
      <c r="J9" s="4" t="inlineStr">
        <is>
          <t>1987</t>
        </is>
      </c>
      <c r="K9" s="4" t="inlineStr">
        <is>
          <t>1ª</t>
        </is>
      </c>
      <c r="L9" s="4" t="inlineStr">
        <is>
          <t>978-8425213533</t>
        </is>
      </c>
      <c r="M9" s="4" t="inlineStr">
        <is>
          <t>Español</t>
        </is>
      </c>
      <c r="N9" s="4" t="inlineStr">
        <is>
          <t>Libro</t>
        </is>
      </c>
      <c r="O9" s="4" t="inlineStr">
        <is>
          <t>Básica</t>
        </is>
      </c>
      <c r="P9" s="4" t="n"/>
      <c r="Q9" s="4" t="n"/>
      <c r="R9" s="4" t="n"/>
    </row>
    <row r="10">
      <c r="A10" s="4" t="n">
        <v>1</v>
      </c>
      <c r="B10" s="4" t="inlineStr">
        <is>
          <t>DV 1 NNN</t>
        </is>
      </c>
      <c r="C10" s="4" t="inlineStr">
        <is>
          <t>Estudio de principios y composición visual</t>
        </is>
      </c>
      <c r="D10" s="4" t="inlineStr">
        <is>
          <t>Estudio</t>
        </is>
      </c>
      <c r="E10" s="4" t="inlineStr">
        <is>
          <t>Profesional</t>
        </is>
      </c>
      <c r="F10" s="4" t="inlineStr">
        <is>
          <t>12</t>
        </is>
      </c>
      <c r="G10" s="4" t="inlineStr">
        <is>
          <t>Dondis, Donis A.</t>
        </is>
      </c>
      <c r="H10" s="4" t="inlineStr">
        <is>
          <t>La sintaxis de la imagen: introducción al alfabeto visual</t>
        </is>
      </c>
      <c r="I10" s="4" t="inlineStr">
        <is>
          <t>Gustavo Gili</t>
        </is>
      </c>
      <c r="J10" s="4" t="inlineStr">
        <is>
          <t>2017</t>
        </is>
      </c>
      <c r="K10" s="4" t="inlineStr">
        <is>
          <t>1ª</t>
        </is>
      </c>
      <c r="L10" s="4" t="inlineStr">
        <is>
          <t>978-8425228674</t>
        </is>
      </c>
      <c r="M10" s="4" t="inlineStr">
        <is>
          <t>Español</t>
        </is>
      </c>
      <c r="N10" s="4" t="inlineStr">
        <is>
          <t>Libro</t>
        </is>
      </c>
      <c r="O10" s="4" t="inlineStr">
        <is>
          <t>Complementaria</t>
        </is>
      </c>
      <c r="P10" s="4" t="n"/>
      <c r="Q10" s="4" t="n"/>
      <c r="R10" s="4" t="n"/>
    </row>
    <row r="11">
      <c r="A11" s="4" t="n">
        <v>1</v>
      </c>
      <c r="B11" s="4" t="inlineStr">
        <is>
          <t>DV 1 NNN</t>
        </is>
      </c>
      <c r="C11" s="4" t="inlineStr">
        <is>
          <t>Estudio de principios y composición visual</t>
        </is>
      </c>
      <c r="D11" s="4" t="inlineStr">
        <is>
          <t>Estudio</t>
        </is>
      </c>
      <c r="E11" s="4" t="inlineStr">
        <is>
          <t>Profesional</t>
        </is>
      </c>
      <c r="F11" s="4" t="inlineStr">
        <is>
          <t>12</t>
        </is>
      </c>
      <c r="G11" s="4" t="inlineStr">
        <is>
          <t>Kandinsky, Wassily</t>
        </is>
      </c>
      <c r="H11" s="4" t="inlineStr">
        <is>
          <t>Punto y línea sobre el plano</t>
        </is>
      </c>
      <c r="I11" s="4" t="inlineStr">
        <is>
          <t>Paidós Ibérica</t>
        </is>
      </c>
      <c r="J11" s="4" t="inlineStr">
        <is>
          <t>2003</t>
        </is>
      </c>
      <c r="K11" s="4" t="inlineStr">
        <is>
          <t>1ª</t>
        </is>
      </c>
      <c r="L11" s="4" t="inlineStr">
        <is>
          <t>978-8449315183</t>
        </is>
      </c>
      <c r="M11" s="4" t="inlineStr">
        <is>
          <t>Español</t>
        </is>
      </c>
      <c r="N11" s="4" t="inlineStr">
        <is>
          <t>Libro</t>
        </is>
      </c>
      <c r="O11" s="4" t="inlineStr">
        <is>
          <t>Complementaria</t>
        </is>
      </c>
      <c r="P11" s="4" t="n"/>
      <c r="Q11" s="4" t="n"/>
      <c r="R11" s="4" t="n"/>
    </row>
    <row r="12">
      <c r="A12" s="4" t="n">
        <v>1</v>
      </c>
      <c r="B12" s="4" t="inlineStr">
        <is>
          <t>DV 1 NNN</t>
        </is>
      </c>
      <c r="C12" s="4" t="inlineStr">
        <is>
          <t>Estudio de principios y composición visual</t>
        </is>
      </c>
      <c r="D12" s="4" t="inlineStr">
        <is>
          <t>Estudio</t>
        </is>
      </c>
      <c r="E12" s="4" t="inlineStr">
        <is>
          <t>Profesional</t>
        </is>
      </c>
      <c r="F12" s="4" t="inlineStr">
        <is>
          <t>12</t>
        </is>
      </c>
      <c r="G12" s="4" t="inlineStr">
        <is>
          <t>Itten, Johannes</t>
        </is>
      </c>
      <c r="H12" s="4" t="inlineStr">
        <is>
          <t>Arte del color</t>
        </is>
      </c>
      <c r="I12" s="4" t="inlineStr">
        <is>
          <t>Bouret</t>
        </is>
      </c>
      <c r="J12" s="4" t="inlineStr">
        <is>
          <t>2002</t>
        </is>
      </c>
      <c r="K12" s="4" t="inlineStr">
        <is>
          <t>1ª</t>
        </is>
      </c>
      <c r="L12" s="4" t="inlineStr">
        <is>
          <t>978-9682327529</t>
        </is>
      </c>
      <c r="M12" s="4" t="inlineStr">
        <is>
          <t>Español</t>
        </is>
      </c>
      <c r="N12" s="4" t="inlineStr">
        <is>
          <t>Libro</t>
        </is>
      </c>
      <c r="O12" s="4" t="inlineStr">
        <is>
          <t>Complementaria</t>
        </is>
      </c>
      <c r="P12" s="4" t="n"/>
      <c r="Q12" s="4" t="n"/>
      <c r="R12" s="4" t="n"/>
    </row>
    <row r="13">
      <c r="A13" s="4" t="n">
        <v>1</v>
      </c>
      <c r="B13" s="4" t="inlineStr">
        <is>
          <t>DV 1 NNN</t>
        </is>
      </c>
      <c r="C13" s="4" t="inlineStr">
        <is>
          <t>Estudio de principios y composición visual</t>
        </is>
      </c>
      <c r="D13" s="4" t="inlineStr">
        <is>
          <t>Estudio</t>
        </is>
      </c>
      <c r="E13" s="4" t="inlineStr">
        <is>
          <t>Profesional</t>
        </is>
      </c>
      <c r="F13" s="4" t="inlineStr">
        <is>
          <t>12</t>
        </is>
      </c>
      <c r="G13" s="4" t="inlineStr">
        <is>
          <t>Frutiger, Adrian</t>
        </is>
      </c>
      <c r="H13" s="4" t="inlineStr">
        <is>
          <t>Signos, símbolos, marcas, señales</t>
        </is>
      </c>
      <c r="I13" s="4" t="inlineStr">
        <is>
          <t>Gustavo Gili</t>
        </is>
      </c>
      <c r="J13" s="4" t="inlineStr">
        <is>
          <t>2018</t>
        </is>
      </c>
      <c r="K13" s="4" t="inlineStr">
        <is>
          <t>1ª</t>
        </is>
      </c>
      <c r="L13" s="4" t="inlineStr">
        <is>
          <t>978-8425227097</t>
        </is>
      </c>
      <c r="M13" s="4" t="inlineStr">
        <is>
          <t>Español</t>
        </is>
      </c>
      <c r="N13" s="4" t="inlineStr">
        <is>
          <t>Libro</t>
        </is>
      </c>
      <c r="O13" s="4" t="inlineStr">
        <is>
          <t>Complementaria</t>
        </is>
      </c>
      <c r="P13" s="4" t="n"/>
      <c r="Q13" s="4" t="n"/>
      <c r="R13" s="4" t="n"/>
    </row>
    <row r="14">
      <c r="A14" s="4" t="n">
        <v>1</v>
      </c>
      <c r="B14" s="4" t="inlineStr">
        <is>
          <t>DV 1 NNN</t>
        </is>
      </c>
      <c r="C14" s="4" t="inlineStr">
        <is>
          <t>Estudio de principios y composición visual</t>
        </is>
      </c>
      <c r="D14" s="4" t="inlineStr">
        <is>
          <t>Estudio</t>
        </is>
      </c>
      <c r="E14" s="4" t="inlineStr">
        <is>
          <t>Profesional</t>
        </is>
      </c>
      <c r="F14" s="4" t="inlineStr">
        <is>
          <t>12</t>
        </is>
      </c>
      <c r="G14" s="4" t="inlineStr">
        <is>
          <t>Arnheim, Rudolf</t>
        </is>
      </c>
      <c r="H14" s="4" t="inlineStr">
        <is>
          <t>Arte y percepción visual: psicología del ojo creador</t>
        </is>
      </c>
      <c r="I14" s="4" t="inlineStr">
        <is>
          <t>Alianza Editorial</t>
        </is>
      </c>
      <c r="J14" s="4" t="inlineStr">
        <is>
          <t>2002</t>
        </is>
      </c>
      <c r="K14" s="4" t="inlineStr">
        <is>
          <t>1ª</t>
        </is>
      </c>
      <c r="L14" s="4" t="inlineStr">
        <is>
          <t>978-8420677538</t>
        </is>
      </c>
      <c r="M14" s="4" t="inlineStr">
        <is>
          <t>Español</t>
        </is>
      </c>
      <c r="N14" s="4" t="inlineStr">
        <is>
          <t>Libro</t>
        </is>
      </c>
      <c r="O14" s="4" t="inlineStr">
        <is>
          <t>Complementaria</t>
        </is>
      </c>
      <c r="P14" s="4" t="n"/>
      <c r="Q14" s="4" t="n"/>
      <c r="R14" s="4" t="n"/>
    </row>
    <row r="15">
      <c r="A15" s="4" t="n">
        <v>1</v>
      </c>
      <c r="B15" s="4" t="inlineStr">
        <is>
          <t>DV 1 NNN</t>
        </is>
      </c>
      <c r="C15" s="4" t="inlineStr">
        <is>
          <t>Estudio de principios y composición visual</t>
        </is>
      </c>
      <c r="D15" s="4" t="inlineStr">
        <is>
          <t>Estudio</t>
        </is>
      </c>
      <c r="E15" s="4" t="inlineStr">
        <is>
          <t>Profesional</t>
        </is>
      </c>
      <c r="F15" s="4" t="inlineStr">
        <is>
          <t>12</t>
        </is>
      </c>
      <c r="G15" s="4" t="inlineStr">
        <is>
          <t>Berger, John</t>
        </is>
      </c>
      <c r="H15" s="4" t="inlineStr">
        <is>
          <t>Modos de ver</t>
        </is>
      </c>
      <c r="I15" s="4" t="inlineStr">
        <is>
          <t>Gustavo Gili</t>
        </is>
      </c>
      <c r="J15" s="4" t="inlineStr">
        <is>
          <t>2016</t>
        </is>
      </c>
      <c r="K15" s="4" t="inlineStr">
        <is>
          <t>1ª</t>
        </is>
      </c>
      <c r="L15" s="4" t="inlineStr">
        <is>
          <t>978-8425229466</t>
        </is>
      </c>
      <c r="M15" s="4" t="inlineStr">
        <is>
          <t>Español</t>
        </is>
      </c>
      <c r="N15" s="4" t="inlineStr">
        <is>
          <t>Libro</t>
        </is>
      </c>
      <c r="O15" s="4" t="inlineStr">
        <is>
          <t>Complementaria</t>
        </is>
      </c>
      <c r="P15" s="4" t="n"/>
      <c r="Q15" s="4" t="n"/>
      <c r="R15" s="4" t="n"/>
    </row>
    <row r="16">
      <c r="A16" s="4" t="n">
        <v>1</v>
      </c>
      <c r="B16" s="4" t="inlineStr">
        <is>
          <t>DV 1 NNN</t>
        </is>
      </c>
      <c r="C16" s="4" t="inlineStr">
        <is>
          <t>Visualización y pensamiento de diseño</t>
        </is>
      </c>
      <c r="D16" s="4" t="inlineStr">
        <is>
          <t>Disciplinar</t>
        </is>
      </c>
      <c r="E16" s="4" t="inlineStr">
        <is>
          <t>Profesional</t>
        </is>
      </c>
      <c r="F16" s="4" t="inlineStr">
        <is>
          <t>6</t>
        </is>
      </c>
      <c r="G16" s="4" t="inlineStr">
        <is>
          <t>Lawson, Bryan</t>
        </is>
      </c>
      <c r="H16" s="4" t="inlineStr">
        <is>
          <t>How Designers Think: The Design Process Demystified</t>
        </is>
      </c>
      <c r="I16" s="4" t="inlineStr">
        <is>
          <t>Routledge</t>
        </is>
      </c>
      <c r="J16" s="4" t="inlineStr">
        <is>
          <t>2005</t>
        </is>
      </c>
      <c r="K16" s="4" t="inlineStr">
        <is>
          <t>4ª</t>
        </is>
      </c>
      <c r="L16" s="4" t="inlineStr">
        <is>
          <t>978-0750660778</t>
        </is>
      </c>
      <c r="M16" s="4" t="inlineStr">
        <is>
          <t>Inglés</t>
        </is>
      </c>
      <c r="N16" s="4" t="inlineStr">
        <is>
          <t>Libro</t>
        </is>
      </c>
      <c r="O16" s="4" t="inlineStr">
        <is>
          <t>Básica</t>
        </is>
      </c>
      <c r="P16" s="4" t="n"/>
      <c r="Q16" s="4" t="n"/>
      <c r="R16" s="4" t="n"/>
    </row>
    <row r="17">
      <c r="A17" s="4" t="n">
        <v>1</v>
      </c>
      <c r="B17" s="4" t="inlineStr">
        <is>
          <t>DV 1 NNN</t>
        </is>
      </c>
      <c r="C17" s="4" t="inlineStr">
        <is>
          <t>Visualización y pensamiento de diseño</t>
        </is>
      </c>
      <c r="D17" s="4" t="inlineStr">
        <is>
          <t>Disciplinar</t>
        </is>
      </c>
      <c r="E17" s="4" t="inlineStr">
        <is>
          <t>Profesional</t>
        </is>
      </c>
      <c r="F17" s="4" t="inlineStr">
        <is>
          <t>6</t>
        </is>
      </c>
      <c r="G17" s="4" t="inlineStr">
        <is>
          <t>Roam, Dan</t>
        </is>
      </c>
      <c r="H17" s="4" t="inlineStr">
        <is>
          <t>The Back of the Napkin: Solving Problems and Selling Ideas with Pictures</t>
        </is>
      </c>
      <c r="I17" s="4" t="inlineStr">
        <is>
          <t>Portfolio</t>
        </is>
      </c>
      <c r="J17" s="4" t="inlineStr">
        <is>
          <t>2008</t>
        </is>
      </c>
      <c r="K17" s="4" t="inlineStr">
        <is>
          <t>1ª</t>
        </is>
      </c>
      <c r="L17" s="4" t="inlineStr">
        <is>
          <t>978-1591842699</t>
        </is>
      </c>
      <c r="M17" s="4" t="inlineStr">
        <is>
          <t>Inglés</t>
        </is>
      </c>
      <c r="N17" s="4" t="inlineStr">
        <is>
          <t>Libro</t>
        </is>
      </c>
      <c r="O17" s="4" t="inlineStr">
        <is>
          <t>Básica</t>
        </is>
      </c>
      <c r="P17" s="4" t="n"/>
      <c r="Q17" s="4" t="n"/>
      <c r="R17" s="4" t="n"/>
    </row>
    <row r="18">
      <c r="A18" s="4" t="n">
        <v>1</v>
      </c>
      <c r="B18" s="4" t="inlineStr">
        <is>
          <t>DV 1 NNN</t>
        </is>
      </c>
      <c r="C18" s="4" t="inlineStr">
        <is>
          <t>Visualización y pensamiento de diseño</t>
        </is>
      </c>
      <c r="D18" s="4" t="inlineStr">
        <is>
          <t>Disciplinar</t>
        </is>
      </c>
      <c r="E18" s="4" t="inlineStr">
        <is>
          <t>Profesional</t>
        </is>
      </c>
      <c r="F18" s="4" t="inlineStr">
        <is>
          <t>6</t>
        </is>
      </c>
      <c r="G18" s="4" t="inlineStr">
        <is>
          <t>Cross, Nigel</t>
        </is>
      </c>
      <c r="H18" s="4" t="inlineStr">
        <is>
          <t>Designerly Ways of Knowing</t>
        </is>
      </c>
      <c r="I18" s="4" t="inlineStr">
        <is>
          <t>Springer</t>
        </is>
      </c>
      <c r="J18" s="4" t="inlineStr">
        <is>
          <t>2006</t>
        </is>
      </c>
      <c r="K18" s="4" t="inlineStr">
        <is>
          <t>1ª</t>
        </is>
      </c>
      <c r="L18" s="4" t="inlineStr">
        <is>
          <t>978-1846283000</t>
        </is>
      </c>
      <c r="M18" s="4" t="inlineStr">
        <is>
          <t>Inglés</t>
        </is>
      </c>
      <c r="N18" s="4" t="inlineStr">
        <is>
          <t>Libro</t>
        </is>
      </c>
      <c r="O18" s="4" t="inlineStr">
        <is>
          <t>Básica</t>
        </is>
      </c>
      <c r="P18" s="4" t="n"/>
      <c r="Q18" s="4" t="n"/>
      <c r="R18" s="4" t="n"/>
    </row>
    <row r="19">
      <c r="A19" s="4" t="n">
        <v>1</v>
      </c>
      <c r="B19" s="4" t="inlineStr">
        <is>
          <t>DV 1 NNN</t>
        </is>
      </c>
      <c r="C19" s="4" t="inlineStr">
        <is>
          <t>Visualización y pensamiento de diseño</t>
        </is>
      </c>
      <c r="D19" s="4" t="inlineStr">
        <is>
          <t>Disciplinar</t>
        </is>
      </c>
      <c r="E19" s="4" t="inlineStr">
        <is>
          <t>Profesional</t>
        </is>
      </c>
      <c r="F19" s="4" t="inlineStr">
        <is>
          <t>6</t>
        </is>
      </c>
      <c r="G19" s="4" t="inlineStr">
        <is>
          <t>Lupton, Ellen (ed.)</t>
        </is>
      </c>
      <c r="H19" s="4" t="inlineStr">
        <is>
          <t>Graphic Design Thinking: Beyond Brainstorming</t>
        </is>
      </c>
      <c r="I19" s="4" t="inlineStr">
        <is>
          <t>Princeton Architectural Press</t>
        </is>
      </c>
      <c r="J19" s="4" t="inlineStr">
        <is>
          <t>2011</t>
        </is>
      </c>
      <c r="K19" s="4" t="inlineStr">
        <is>
          <t>1ª</t>
        </is>
      </c>
      <c r="L19" s="4" t="inlineStr">
        <is>
          <t>978-1568989792</t>
        </is>
      </c>
      <c r="M19" s="4" t="inlineStr">
        <is>
          <t>Inglés</t>
        </is>
      </c>
      <c r="N19" s="4" t="inlineStr">
        <is>
          <t>Libro</t>
        </is>
      </c>
      <c r="O19" s="4" t="inlineStr">
        <is>
          <t>Básica</t>
        </is>
      </c>
      <c r="P19" s="4" t="n"/>
      <c r="Q19" s="4" t="n"/>
      <c r="R19" s="4" t="n"/>
    </row>
    <row r="20">
      <c r="A20" s="4" t="n">
        <v>1</v>
      </c>
      <c r="B20" s="4" t="inlineStr">
        <is>
          <t>DV 1 NNN</t>
        </is>
      </c>
      <c r="C20" s="4" t="inlineStr">
        <is>
          <t>Visualización y pensamiento de diseño</t>
        </is>
      </c>
      <c r="D20" s="4" t="inlineStr">
        <is>
          <t>Disciplinar</t>
        </is>
      </c>
      <c r="E20" s="4" t="inlineStr">
        <is>
          <t>Profesional</t>
        </is>
      </c>
      <c r="F20" s="4" t="inlineStr">
        <is>
          <t>6</t>
        </is>
      </c>
      <c r="G20" s="4" t="inlineStr">
        <is>
          <t>Munari, Bruno</t>
        </is>
      </c>
      <c r="H20" s="4" t="inlineStr">
        <is>
          <t>¿Cómo nacen los objetos? Apuntes para una metodología proyectual</t>
        </is>
      </c>
      <c r="I20" s="4" t="inlineStr">
        <is>
          <t>Gustavo Gili</t>
        </is>
      </c>
      <c r="J20" s="4" t="inlineStr">
        <is>
          <t>2016</t>
        </is>
      </c>
      <c r="K20" s="4" t="inlineStr">
        <is>
          <t>1ª</t>
        </is>
      </c>
      <c r="L20" s="4" t="inlineStr">
        <is>
          <t>978-8425228865</t>
        </is>
      </c>
      <c r="M20" s="4" t="inlineStr">
        <is>
          <t>Español</t>
        </is>
      </c>
      <c r="N20" s="4" t="inlineStr">
        <is>
          <t>Libro</t>
        </is>
      </c>
      <c r="O20" s="4" t="inlineStr">
        <is>
          <t>Básica</t>
        </is>
      </c>
      <c r="P20" s="4" t="n"/>
      <c r="Q20" s="4" t="n"/>
      <c r="R20" s="4" t="n"/>
    </row>
    <row r="21">
      <c r="A21" s="4" t="n">
        <v>1</v>
      </c>
      <c r="B21" s="4" t="inlineStr">
        <is>
          <t>DV 1 NNN</t>
        </is>
      </c>
      <c r="C21" s="4" t="inlineStr">
        <is>
          <t>Visualización y pensamiento de diseño</t>
        </is>
      </c>
      <c r="D21" s="4" t="inlineStr">
        <is>
          <t>Disciplinar</t>
        </is>
      </c>
      <c r="E21" s="4" t="inlineStr">
        <is>
          <t>Profesional</t>
        </is>
      </c>
      <c r="F21" s="4" t="inlineStr">
        <is>
          <t>6</t>
        </is>
      </c>
      <c r="G21" s="4" t="inlineStr">
        <is>
          <t>Edwards, Betty</t>
        </is>
      </c>
      <c r="H21" s="4" t="inlineStr">
        <is>
          <t>Drawing on the Right Side of the Brain</t>
        </is>
      </c>
      <c r="I21" s="4" t="inlineStr">
        <is>
          <t>TarcherPerigee</t>
        </is>
      </c>
      <c r="J21" s="4" t="inlineStr">
        <is>
          <t>2012</t>
        </is>
      </c>
      <c r="K21" s="4" t="inlineStr">
        <is>
          <t>4ª</t>
        </is>
      </c>
      <c r="L21" s="4" t="inlineStr">
        <is>
          <t>978-1585429202</t>
        </is>
      </c>
      <c r="M21" s="4" t="inlineStr">
        <is>
          <t>Inglés</t>
        </is>
      </c>
      <c r="N21" s="4" t="inlineStr">
        <is>
          <t>Libro</t>
        </is>
      </c>
      <c r="O21" s="4" t="inlineStr">
        <is>
          <t>Complementaria</t>
        </is>
      </c>
      <c r="P21" s="4" t="n"/>
      <c r="Q21" s="4" t="n"/>
      <c r="R21" s="4" t="n"/>
    </row>
    <row r="22">
      <c r="A22" s="4" t="n">
        <v>1</v>
      </c>
      <c r="B22" s="4" t="inlineStr">
        <is>
          <t>DV 1 NNN</t>
        </is>
      </c>
      <c r="C22" s="4" t="inlineStr">
        <is>
          <t>Visualización y pensamiento de diseño</t>
        </is>
      </c>
      <c r="D22" s="4" t="inlineStr">
        <is>
          <t>Disciplinar</t>
        </is>
      </c>
      <c r="E22" s="4" t="inlineStr">
        <is>
          <t>Profesional</t>
        </is>
      </c>
      <c r="F22" s="4" t="inlineStr">
        <is>
          <t>6</t>
        </is>
      </c>
      <c r="G22" s="4" t="inlineStr">
        <is>
          <t>Buxton, Bill</t>
        </is>
      </c>
      <c r="H22" s="4" t="inlineStr">
        <is>
          <t>Sketching User Experiences: Getting the Design Right and the Right Design</t>
        </is>
      </c>
      <c r="I22" s="4" t="inlineStr">
        <is>
          <t>Morgan Kaufmann</t>
        </is>
      </c>
      <c r="J22" s="4" t="inlineStr">
        <is>
          <t>2007</t>
        </is>
      </c>
      <c r="K22" s="4" t="inlineStr">
        <is>
          <t>1ª</t>
        </is>
      </c>
      <c r="L22" s="4" t="inlineStr">
        <is>
          <t>978-0123740373</t>
        </is>
      </c>
      <c r="M22" s="4" t="inlineStr">
        <is>
          <t>Inglés</t>
        </is>
      </c>
      <c r="N22" s="4" t="inlineStr">
        <is>
          <t>Libro</t>
        </is>
      </c>
      <c r="O22" s="4" t="inlineStr">
        <is>
          <t>Complementaria</t>
        </is>
      </c>
      <c r="P22" s="4" t="n"/>
      <c r="Q22" s="4" t="n"/>
      <c r="R22" s="4" t="n"/>
    </row>
    <row r="23">
      <c r="A23" s="4" t="n">
        <v>1</v>
      </c>
      <c r="B23" s="4" t="inlineStr">
        <is>
          <t>DV 1 NNN</t>
        </is>
      </c>
      <c r="C23" s="4" t="inlineStr">
        <is>
          <t>Visualización y pensamiento de diseño</t>
        </is>
      </c>
      <c r="D23" s="4" t="inlineStr">
        <is>
          <t>Disciplinar</t>
        </is>
      </c>
      <c r="E23" s="4" t="inlineStr">
        <is>
          <t>Profesional</t>
        </is>
      </c>
      <c r="F23" s="4" t="inlineStr">
        <is>
          <t>6</t>
        </is>
      </c>
      <c r="G23" s="4" t="inlineStr">
        <is>
          <t>Frascara, Jorge</t>
        </is>
      </c>
      <c r="H23" s="4" t="inlineStr">
        <is>
          <t>El diseño de comunicación</t>
        </is>
      </c>
      <c r="I23" s="4" t="inlineStr">
        <is>
          <t>Infinito</t>
        </is>
      </c>
      <c r="J23" s="4" t="inlineStr">
        <is>
          <t>2006</t>
        </is>
      </c>
      <c r="K23" s="4" t="inlineStr">
        <is>
          <t>1ª</t>
        </is>
      </c>
      <c r="L23" s="4" t="inlineStr">
        <is>
          <t>978-9879637234</t>
        </is>
      </c>
      <c r="M23" s="4" t="inlineStr">
        <is>
          <t>Español</t>
        </is>
      </c>
      <c r="N23" s="4" t="inlineStr">
        <is>
          <t>Libro</t>
        </is>
      </c>
      <c r="O23" s="4" t="inlineStr">
        <is>
          <t>Complementaria</t>
        </is>
      </c>
      <c r="P23" s="4" t="n"/>
      <c r="Q23" s="4" t="n"/>
      <c r="R23" s="4" t="n"/>
    </row>
    <row r="24">
      <c r="A24" s="4" t="n">
        <v>1</v>
      </c>
      <c r="B24" s="4" t="inlineStr">
        <is>
          <t>DV 1 NNN</t>
        </is>
      </c>
      <c r="C24" s="4" t="inlineStr">
        <is>
          <t>Visualización y pensamiento de diseño</t>
        </is>
      </c>
      <c r="D24" s="4" t="inlineStr">
        <is>
          <t>Disciplinar</t>
        </is>
      </c>
      <c r="E24" s="4" t="inlineStr">
        <is>
          <t>Profesional</t>
        </is>
      </c>
      <c r="F24" s="4" t="inlineStr">
        <is>
          <t>6</t>
        </is>
      </c>
      <c r="G24" s="4" t="inlineStr">
        <is>
          <t>Cross, Nigel</t>
        </is>
      </c>
      <c r="H24" s="4" t="inlineStr">
        <is>
          <t>Design Thinking: Understanding How Designers Think and Work</t>
        </is>
      </c>
      <c r="I24" s="4" t="inlineStr">
        <is>
          <t>Bloomsbury</t>
        </is>
      </c>
      <c r="J24" s="4" t="inlineStr">
        <is>
          <t>2011</t>
        </is>
      </c>
      <c r="K24" s="4" t="inlineStr">
        <is>
          <t>1ª</t>
        </is>
      </c>
      <c r="L24" s="4" t="inlineStr">
        <is>
          <t>978-1847886361</t>
        </is>
      </c>
      <c r="M24" s="4" t="inlineStr">
        <is>
          <t>Inglés</t>
        </is>
      </c>
      <c r="N24" s="4" t="inlineStr">
        <is>
          <t>Libro</t>
        </is>
      </c>
      <c r="O24" s="4" t="inlineStr">
        <is>
          <t>Complementaria</t>
        </is>
      </c>
      <c r="P24" s="4" t="n"/>
      <c r="Q24" s="4" t="n"/>
      <c r="R24" s="4" t="n"/>
    </row>
    <row r="25">
      <c r="A25" s="4" t="n">
        <v>1</v>
      </c>
      <c r="B25" s="4" t="inlineStr">
        <is>
          <t>DV 1 NNN</t>
        </is>
      </c>
      <c r="C25" s="4" t="inlineStr">
        <is>
          <t>Visualización y pensamiento de diseño</t>
        </is>
      </c>
      <c r="D25" s="4" t="inlineStr">
        <is>
          <t>Disciplinar</t>
        </is>
      </c>
      <c r="E25" s="4" t="inlineStr">
        <is>
          <t>Profesional</t>
        </is>
      </c>
      <c r="F25" s="4" t="inlineStr">
        <is>
          <t>6</t>
        </is>
      </c>
      <c r="G25" s="4" t="inlineStr">
        <is>
          <t>Brown, Tim</t>
        </is>
      </c>
      <c r="H25" s="4" t="inlineStr">
        <is>
          <t>Change by Design: How Design Thinking Transforms Organizations and Inspires Innovation</t>
        </is>
      </c>
      <c r="I25" s="4" t="inlineStr">
        <is>
          <t>Harper Business</t>
        </is>
      </c>
      <c r="J25" s="4" t="inlineStr">
        <is>
          <t>2019</t>
        </is>
      </c>
      <c r="K25" s="4" t="inlineStr">
        <is>
          <t>2ª</t>
        </is>
      </c>
      <c r="L25" s="4" t="inlineStr">
        <is>
          <t>978-0062856623</t>
        </is>
      </c>
      <c r="M25" s="4" t="inlineStr">
        <is>
          <t>Inglés</t>
        </is>
      </c>
      <c r="N25" s="4" t="inlineStr">
        <is>
          <t>Libro</t>
        </is>
      </c>
      <c r="O25" s="4" t="inlineStr">
        <is>
          <t>Complementaria</t>
        </is>
      </c>
      <c r="P25" s="4" t="n"/>
      <c r="Q25" s="4" t="n"/>
      <c r="R25" s="4" t="n"/>
    </row>
    <row r="26">
      <c r="A26" s="4" t="n">
        <v>1</v>
      </c>
      <c r="B26" s="4" t="inlineStr">
        <is>
          <t>DV 1 NNN</t>
        </is>
      </c>
      <c r="C26" s="4" t="inlineStr">
        <is>
          <t>Visualización y pensamiento de diseño</t>
        </is>
      </c>
      <c r="D26" s="4" t="inlineStr">
        <is>
          <t>Disciplinar</t>
        </is>
      </c>
      <c r="E26" s="4" t="inlineStr">
        <is>
          <t>Profesional</t>
        </is>
      </c>
      <c r="F26" s="4" t="inlineStr">
        <is>
          <t>6</t>
        </is>
      </c>
      <c r="G26" s="4" t="inlineStr">
        <is>
          <t>McKim, Robert H.</t>
        </is>
      </c>
      <c r="H26" s="4" t="inlineStr">
        <is>
          <t>Experiences in Visual Thinking</t>
        </is>
      </c>
      <c r="I26" s="4" t="inlineStr">
        <is>
          <t>PWS Publishing</t>
        </is>
      </c>
      <c r="J26" s="4" t="inlineStr">
        <is>
          <t>1980</t>
        </is>
      </c>
      <c r="K26" s="4" t="inlineStr">
        <is>
          <t>2ª</t>
        </is>
      </c>
      <c r="L26" s="4" t="inlineStr">
        <is>
          <t>978-0818504112</t>
        </is>
      </c>
      <c r="M26" s="4" t="inlineStr">
        <is>
          <t>Inglés</t>
        </is>
      </c>
      <c r="N26" s="4" t="inlineStr">
        <is>
          <t>Libro</t>
        </is>
      </c>
      <c r="O26" s="4" t="inlineStr">
        <is>
          <t>Complementaria</t>
        </is>
      </c>
      <c r="P26" s="4" t="n"/>
      <c r="Q26" s="4" t="n"/>
      <c r="R26" s="4" t="n"/>
    </row>
    <row r="27">
      <c r="A27" s="3" t="n">
        <v>1</v>
      </c>
      <c r="B27" s="3" t="inlineStr">
        <is>
          <t>DV1NNN</t>
        </is>
      </c>
      <c r="C27" s="3" t="inlineStr">
        <is>
          <t>Contexto Cultural del Diseño</t>
        </is>
      </c>
      <c r="D27" s="3" t="inlineStr">
        <is>
          <t>Disciplinar</t>
        </is>
      </c>
      <c r="E27" s="3" t="inlineStr">
        <is>
          <t>Profesional</t>
        </is>
      </c>
      <c r="F27" s="3" t="inlineStr">
        <is>
          <t>6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4" t="n">
        <v>1</v>
      </c>
      <c r="B28" s="4" t="inlineStr">
        <is>
          <t>DV1NNN</t>
        </is>
      </c>
      <c r="C28" s="4" t="inlineStr">
        <is>
          <t>Herramientas Digitales para el Diseño</t>
        </is>
      </c>
      <c r="D28" s="4" t="inlineStr">
        <is>
          <t>Sinergia</t>
        </is>
      </c>
      <c r="E28" s="4" t="inlineStr">
        <is>
          <t>Profesional</t>
        </is>
      </c>
      <c r="F28" s="4" t="inlineStr">
        <is>
          <t>6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3" t="n">
        <v>1</v>
      </c>
      <c r="B29" s="3" t="inlineStr">
        <is>
          <t>FU1NNN</t>
        </is>
      </c>
      <c r="C29" s="3" t="inlineStr">
        <is>
          <t>Formación UDEM</t>
        </is>
      </c>
      <c r="D29" s="3" t="inlineStr">
        <is>
          <t>Formación UDEM</t>
        </is>
      </c>
      <c r="E29" s="3" t="inlineStr">
        <is>
          <t>UDEM</t>
        </is>
      </c>
      <c r="F29" s="3" t="inlineStr">
        <is>
          <t>6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4" t="n">
        <v>2</v>
      </c>
      <c r="B30" s="4" t="inlineStr">
        <is>
          <t>DV 1 NNN</t>
        </is>
      </c>
      <c r="C30" s="4" t="inlineStr">
        <is>
          <t>Estudio de forma, color y estructura</t>
        </is>
      </c>
      <c r="D30" s="4" t="inlineStr">
        <is>
          <t>Estudio</t>
        </is>
      </c>
      <c r="E30" s="4" t="inlineStr">
        <is>
          <t>Profesional</t>
        </is>
      </c>
      <c r="F30" s="4" t="inlineStr">
        <is>
          <t>12</t>
        </is>
      </c>
      <c r="G30" s="4" t="inlineStr">
        <is>
          <t>Wong, Wucius</t>
        </is>
      </c>
      <c r="H30" s="4" t="inlineStr">
        <is>
          <t>Fundamentos del diseño</t>
        </is>
      </c>
      <c r="I30" s="4" t="inlineStr">
        <is>
          <t>Gustavo Gili</t>
        </is>
      </c>
      <c r="J30" s="4" t="inlineStr">
        <is>
          <t>2011</t>
        </is>
      </c>
      <c r="K30" s="4" t="inlineStr">
        <is>
          <t>2ª</t>
        </is>
      </c>
      <c r="L30" s="4" t="inlineStr">
        <is>
          <t>978-8425218439</t>
        </is>
      </c>
      <c r="M30" s="4" t="inlineStr">
        <is>
          <t>Español</t>
        </is>
      </c>
      <c r="N30" s="4" t="inlineStr">
        <is>
          <t>Libro</t>
        </is>
      </c>
      <c r="O30" s="4" t="inlineStr">
        <is>
          <t>Básica</t>
        </is>
      </c>
      <c r="P30" s="4" t="n"/>
      <c r="Q30" s="4" t="n"/>
      <c r="R30" s="4" t="n"/>
    </row>
    <row r="31">
      <c r="A31" s="4" t="n">
        <v>2</v>
      </c>
      <c r="B31" s="4" t="inlineStr">
        <is>
          <t>DV 1 NNN</t>
        </is>
      </c>
      <c r="C31" s="4" t="inlineStr">
        <is>
          <t>Estudio de forma, color y estructura</t>
        </is>
      </c>
      <c r="D31" s="4" t="inlineStr">
        <is>
          <t>Estudio</t>
        </is>
      </c>
      <c r="E31" s="4" t="inlineStr">
        <is>
          <t>Profesional</t>
        </is>
      </c>
      <c r="F31" s="4" t="inlineStr">
        <is>
          <t>12</t>
        </is>
      </c>
      <c r="G31" s="4" t="inlineStr">
        <is>
          <t>Eiseman, Leatrice</t>
        </is>
      </c>
      <c r="H31" s="4" t="inlineStr">
        <is>
          <t>The Complete Color Harmony: Deluxe Edition</t>
        </is>
      </c>
      <c r="I31" s="4" t="inlineStr">
        <is>
          <t>Rockport</t>
        </is>
      </c>
      <c r="J31" s="4" t="inlineStr">
        <is>
          <t>2017</t>
        </is>
      </c>
      <c r="K31" s="4" t="inlineStr">
        <is>
          <t>1ª</t>
        </is>
      </c>
      <c r="L31" s="4" t="inlineStr">
        <is>
          <t>978-1631593383</t>
        </is>
      </c>
      <c r="M31" s="4" t="inlineStr">
        <is>
          <t>Inglés</t>
        </is>
      </c>
      <c r="N31" s="4" t="inlineStr">
        <is>
          <t>Libro</t>
        </is>
      </c>
      <c r="O31" s="4" t="inlineStr">
        <is>
          <t>Básica</t>
        </is>
      </c>
      <c r="P31" s="4" t="n"/>
      <c r="Q31" s="4" t="n"/>
      <c r="R31" s="4" t="n"/>
    </row>
    <row r="32">
      <c r="A32" s="4" t="n">
        <v>2</v>
      </c>
      <c r="B32" s="4" t="inlineStr">
        <is>
          <t>DV 1 NNN</t>
        </is>
      </c>
      <c r="C32" s="4" t="inlineStr">
        <is>
          <t>Estudio de forma, color y estructura</t>
        </is>
      </c>
      <c r="D32" s="4" t="inlineStr">
        <is>
          <t>Estudio</t>
        </is>
      </c>
      <c r="E32" s="4" t="inlineStr">
        <is>
          <t>Profesional</t>
        </is>
      </c>
      <c r="F32" s="4" t="inlineStr">
        <is>
          <t>12</t>
        </is>
      </c>
      <c r="G32" s="4" t="inlineStr">
        <is>
          <t>Lupton, Ellen; Cole Phillips, Jennifer</t>
        </is>
      </c>
      <c r="H32" s="4" t="inlineStr">
        <is>
          <t>Diseño gráfico. Nuevos fundamentos</t>
        </is>
      </c>
      <c r="I32" s="4" t="inlineStr">
        <is>
          <t>Gustavo Gili</t>
        </is>
      </c>
      <c r="J32" s="4" t="inlineStr">
        <is>
          <t>2016</t>
        </is>
      </c>
      <c r="K32" s="4" t="inlineStr">
        <is>
          <t>2ª</t>
        </is>
      </c>
      <c r="L32" s="4" t="inlineStr">
        <is>
          <t>978-8425229312</t>
        </is>
      </c>
      <c r="M32" s="4" t="inlineStr">
        <is>
          <t>Español</t>
        </is>
      </c>
      <c r="N32" s="4" t="inlineStr">
        <is>
          <t>Libro</t>
        </is>
      </c>
      <c r="O32" s="4" t="inlineStr">
        <is>
          <t>Básica</t>
        </is>
      </c>
      <c r="P32" s="4" t="n"/>
      <c r="Q32" s="4" t="n"/>
      <c r="R32" s="4" t="n"/>
    </row>
    <row r="33">
      <c r="A33" s="4" t="n">
        <v>2</v>
      </c>
      <c r="B33" s="4" t="inlineStr">
        <is>
          <t>DV 1 NNN</t>
        </is>
      </c>
      <c r="C33" s="4" t="inlineStr">
        <is>
          <t>Estudio de forma, color y estructura</t>
        </is>
      </c>
      <c r="D33" s="4" t="inlineStr">
        <is>
          <t>Estudio</t>
        </is>
      </c>
      <c r="E33" s="4" t="inlineStr">
        <is>
          <t>Profesional</t>
        </is>
      </c>
      <c r="F33" s="4" t="inlineStr">
        <is>
          <t>12</t>
        </is>
      </c>
      <c r="G33" s="4" t="inlineStr">
        <is>
          <t>Elam, Kimberly</t>
        </is>
      </c>
      <c r="H33" s="4" t="inlineStr">
        <is>
          <t>La geometría del diseño: estudios sobre la proporción y la composición</t>
        </is>
      </c>
      <c r="I33" s="4" t="inlineStr">
        <is>
          <t>Trillas</t>
        </is>
      </c>
      <c r="J33" s="4" t="inlineStr">
        <is>
          <t>2014</t>
        </is>
      </c>
      <c r="K33" s="4" t="inlineStr">
        <is>
          <t>1ª</t>
        </is>
      </c>
      <c r="L33" s="4" t="inlineStr">
        <is>
          <t>978-6071721525</t>
        </is>
      </c>
      <c r="M33" s="4" t="inlineStr">
        <is>
          <t>Español</t>
        </is>
      </c>
      <c r="N33" s="4" t="inlineStr">
        <is>
          <t>Libro</t>
        </is>
      </c>
      <c r="O33" s="4" t="inlineStr">
        <is>
          <t>Básica</t>
        </is>
      </c>
      <c r="P33" s="4" t="n"/>
      <c r="Q33" s="4" t="n"/>
      <c r="R33" s="4" t="n"/>
    </row>
    <row r="34">
      <c r="A34" s="4" t="n">
        <v>2</v>
      </c>
      <c r="B34" s="4" t="inlineStr">
        <is>
          <t>DV 1 NNN</t>
        </is>
      </c>
      <c r="C34" s="4" t="inlineStr">
        <is>
          <t>Estudio de forma, color y estructura</t>
        </is>
      </c>
      <c r="D34" s="4" t="inlineStr">
        <is>
          <t>Estudio</t>
        </is>
      </c>
      <c r="E34" s="4" t="inlineStr">
        <is>
          <t>Profesional</t>
        </is>
      </c>
      <c r="F34" s="4" t="inlineStr">
        <is>
          <t>12</t>
        </is>
      </c>
      <c r="G34" s="4" t="inlineStr">
        <is>
          <t>Albers, Josef</t>
        </is>
      </c>
      <c r="H34" s="4" t="inlineStr">
        <is>
          <t>La interacción del color</t>
        </is>
      </c>
      <c r="I34" s="4" t="inlineStr">
        <is>
          <t>Alianza Forma</t>
        </is>
      </c>
      <c r="J34" s="4" t="inlineStr">
        <is>
          <t>2010</t>
        </is>
      </c>
      <c r="K34" s="4" t="inlineStr">
        <is>
          <t>1ª</t>
        </is>
      </c>
      <c r="L34" s="4" t="inlineStr">
        <is>
          <t>978-8420671175</t>
        </is>
      </c>
      <c r="M34" s="4" t="inlineStr">
        <is>
          <t>Español</t>
        </is>
      </c>
      <c r="N34" s="4" t="inlineStr">
        <is>
          <t>Libro</t>
        </is>
      </c>
      <c r="O34" s="4" t="inlineStr">
        <is>
          <t>Básica</t>
        </is>
      </c>
      <c r="P34" s="4" t="n"/>
      <c r="Q34" s="4" t="n"/>
      <c r="R34" s="4" t="n"/>
    </row>
    <row r="35">
      <c r="A35" s="4" t="n">
        <v>2</v>
      </c>
      <c r="B35" s="4" t="inlineStr">
        <is>
          <t>DV 1 NNN</t>
        </is>
      </c>
      <c r="C35" s="4" t="inlineStr">
        <is>
          <t>Estudio de forma, color y estructura</t>
        </is>
      </c>
      <c r="D35" s="4" t="inlineStr">
        <is>
          <t>Estudio</t>
        </is>
      </c>
      <c r="E35" s="4" t="inlineStr">
        <is>
          <t>Profesional</t>
        </is>
      </c>
      <c r="F35" s="4" t="inlineStr">
        <is>
          <t>12</t>
        </is>
      </c>
      <c r="G35" s="4" t="inlineStr">
        <is>
          <t>Müller-Brockmann, Josef</t>
        </is>
      </c>
      <c r="H35" s="4" t="inlineStr">
        <is>
          <t>Sistemas de retículas: un manual para diseñadores gráficos</t>
        </is>
      </c>
      <c r="I35" s="4" t="inlineStr">
        <is>
          <t>Gustavo Gili</t>
        </is>
      </c>
      <c r="J35" s="4" t="inlineStr">
        <is>
          <t>2012</t>
        </is>
      </c>
      <c r="K35" s="4" t="inlineStr">
        <is>
          <t>1ª</t>
        </is>
      </c>
      <c r="L35" s="4" t="inlineStr">
        <is>
          <t>978-8425225147</t>
        </is>
      </c>
      <c r="M35" s="4" t="inlineStr">
        <is>
          <t>Español</t>
        </is>
      </c>
      <c r="N35" s="4" t="inlineStr">
        <is>
          <t>Libro</t>
        </is>
      </c>
      <c r="O35" s="4" t="inlineStr">
        <is>
          <t>Básica</t>
        </is>
      </c>
      <c r="P35" s="4" t="n"/>
      <c r="Q35" s="4" t="n"/>
      <c r="R35" s="4" t="n"/>
    </row>
    <row r="36">
      <c r="A36" s="4" t="n">
        <v>2</v>
      </c>
      <c r="B36" s="4" t="inlineStr">
        <is>
          <t>DV 1 NNN</t>
        </is>
      </c>
      <c r="C36" s="4" t="inlineStr">
        <is>
          <t>Estudio de forma, color y estructura</t>
        </is>
      </c>
      <c r="D36" s="4" t="inlineStr">
        <is>
          <t>Estudio</t>
        </is>
      </c>
      <c r="E36" s="4" t="inlineStr">
        <is>
          <t>Profesional</t>
        </is>
      </c>
      <c r="F36" s="4" t="inlineStr">
        <is>
          <t>12</t>
        </is>
      </c>
      <c r="G36" s="4" t="inlineStr">
        <is>
          <t>Heller, Eva</t>
        </is>
      </c>
      <c r="H36" s="4" t="inlineStr">
        <is>
          <t>Psicología del color: cómo actúan los colores sobre los sentimientos y la razón</t>
        </is>
      </c>
      <c r="I36" s="4" t="inlineStr">
        <is>
          <t>Gustavo Gili</t>
        </is>
      </c>
      <c r="J36" s="4" t="inlineStr">
        <is>
          <t>2008</t>
        </is>
      </c>
      <c r="K36" s="4" t="inlineStr">
        <is>
          <t>1ª</t>
        </is>
      </c>
      <c r="L36" s="4" t="inlineStr">
        <is>
          <t>978-8425219771</t>
        </is>
      </c>
      <c r="M36" s="4" t="inlineStr">
        <is>
          <t>Español</t>
        </is>
      </c>
      <c r="N36" s="4" t="inlineStr">
        <is>
          <t>Libro</t>
        </is>
      </c>
      <c r="O36" s="4" t="inlineStr">
        <is>
          <t>Básica</t>
        </is>
      </c>
      <c r="P36" s="4" t="n"/>
      <c r="Q36" s="4" t="n"/>
      <c r="R36" s="4" t="n"/>
    </row>
    <row r="37">
      <c r="A37" s="4" t="n">
        <v>2</v>
      </c>
      <c r="B37" s="4" t="inlineStr">
        <is>
          <t>DV 1 NNN</t>
        </is>
      </c>
      <c r="C37" s="4" t="inlineStr">
        <is>
          <t>Estudio de forma, color y estructura</t>
        </is>
      </c>
      <c r="D37" s="4" t="inlineStr">
        <is>
          <t>Estudio</t>
        </is>
      </c>
      <c r="E37" s="4" t="inlineStr">
        <is>
          <t>Profesional</t>
        </is>
      </c>
      <c r="F37" s="4" t="inlineStr">
        <is>
          <t>12</t>
        </is>
      </c>
      <c r="G37" s="4" t="inlineStr">
        <is>
          <t>Itten, Johannes</t>
        </is>
      </c>
      <c r="H37" s="4" t="inlineStr">
        <is>
          <t>Arte del color</t>
        </is>
      </c>
      <c r="I37" s="4" t="inlineStr">
        <is>
          <t>Bouret</t>
        </is>
      </c>
      <c r="J37" s="4" t="inlineStr">
        <is>
          <t>2002</t>
        </is>
      </c>
      <c r="K37" s="4" t="inlineStr">
        <is>
          <t>1ª</t>
        </is>
      </c>
      <c r="L37" s="4" t="inlineStr">
        <is>
          <t>978-9682327529</t>
        </is>
      </c>
      <c r="M37" s="4" t="inlineStr">
        <is>
          <t>Español</t>
        </is>
      </c>
      <c r="N37" s="4" t="inlineStr">
        <is>
          <t>Libro</t>
        </is>
      </c>
      <c r="O37" s="4" t="inlineStr">
        <is>
          <t>Complementaria</t>
        </is>
      </c>
      <c r="P37" s="4" t="n"/>
      <c r="Q37" s="4" t="n"/>
      <c r="R37" s="4" t="n"/>
    </row>
    <row r="38">
      <c r="A38" s="4" t="n">
        <v>2</v>
      </c>
      <c r="B38" s="4" t="inlineStr">
        <is>
          <t>DV 1 NNN</t>
        </is>
      </c>
      <c r="C38" s="4" t="inlineStr">
        <is>
          <t>Estudio de forma, color y estructura</t>
        </is>
      </c>
      <c r="D38" s="4" t="inlineStr">
        <is>
          <t>Estudio</t>
        </is>
      </c>
      <c r="E38" s="4" t="inlineStr">
        <is>
          <t>Profesional</t>
        </is>
      </c>
      <c r="F38" s="4" t="inlineStr">
        <is>
          <t>12</t>
        </is>
      </c>
      <c r="G38" s="4" t="inlineStr">
        <is>
          <t>Pastoureau, Michel</t>
        </is>
      </c>
      <c r="H38" s="4" t="inlineStr">
        <is>
          <t>Diccionario de los colores</t>
        </is>
      </c>
      <c r="I38" s="4" t="inlineStr">
        <is>
          <t>Paidós Ibérica</t>
        </is>
      </c>
      <c r="J38" s="4" t="inlineStr">
        <is>
          <t>2009</t>
        </is>
      </c>
      <c r="K38" s="4" t="inlineStr">
        <is>
          <t>1ª</t>
        </is>
      </c>
      <c r="L38" s="4" t="inlineStr">
        <is>
          <t>978-8449323065</t>
        </is>
      </c>
      <c r="M38" s="4" t="inlineStr">
        <is>
          <t>Español</t>
        </is>
      </c>
      <c r="N38" s="4" t="inlineStr">
        <is>
          <t>Libro</t>
        </is>
      </c>
      <c r="O38" s="4" t="inlineStr">
        <is>
          <t>Complementaria</t>
        </is>
      </c>
      <c r="P38" s="4" t="n"/>
      <c r="Q38" s="4" t="n"/>
      <c r="R38" s="4" t="n"/>
    </row>
    <row r="39">
      <c r="A39" s="4" t="n">
        <v>2</v>
      </c>
      <c r="B39" s="4" t="inlineStr">
        <is>
          <t>DV 1 NNN</t>
        </is>
      </c>
      <c r="C39" s="4" t="inlineStr">
        <is>
          <t>Estudio de forma, color y estructura</t>
        </is>
      </c>
      <c r="D39" s="4" t="inlineStr">
        <is>
          <t>Estudio</t>
        </is>
      </c>
      <c r="E39" s="4" t="inlineStr">
        <is>
          <t>Profesional</t>
        </is>
      </c>
      <c r="F39" s="4" t="inlineStr">
        <is>
          <t>12</t>
        </is>
      </c>
      <c r="G39" s="4" t="inlineStr">
        <is>
          <t>Hochuli, Jost</t>
        </is>
      </c>
      <c r="H39" s="4" t="inlineStr">
        <is>
          <t>El detalle en la tipografía</t>
        </is>
      </c>
      <c r="I39" s="4" t="inlineStr">
        <is>
          <t>Campgràfic</t>
        </is>
      </c>
      <c r="J39" s="4" t="inlineStr">
        <is>
          <t>2007</t>
        </is>
      </c>
      <c r="K39" s="4" t="inlineStr">
        <is>
          <t>1ª</t>
        </is>
      </c>
      <c r="L39" s="4" t="inlineStr">
        <is>
          <t>978-8496657052</t>
        </is>
      </c>
      <c r="M39" s="4" t="inlineStr">
        <is>
          <t>Español</t>
        </is>
      </c>
      <c r="N39" s="4" t="inlineStr">
        <is>
          <t>Libro</t>
        </is>
      </c>
      <c r="O39" s="4" t="inlineStr">
        <is>
          <t>Complementaria</t>
        </is>
      </c>
      <c r="P39" s="4" t="n"/>
      <c r="Q39" s="4" t="n"/>
      <c r="R39" s="4" t="n"/>
    </row>
    <row r="40">
      <c r="A40" s="4" t="n">
        <v>2</v>
      </c>
      <c r="B40" s="4" t="inlineStr">
        <is>
          <t>DV 1 NNN</t>
        </is>
      </c>
      <c r="C40" s="4" t="inlineStr">
        <is>
          <t>Estudio de forma, color y estructura</t>
        </is>
      </c>
      <c r="D40" s="4" t="inlineStr">
        <is>
          <t>Estudio</t>
        </is>
      </c>
      <c r="E40" s="4" t="inlineStr">
        <is>
          <t>Profesional</t>
        </is>
      </c>
      <c r="F40" s="4" t="inlineStr">
        <is>
          <t>12</t>
        </is>
      </c>
      <c r="G40" s="4" t="inlineStr">
        <is>
          <t>Samara, Timothy</t>
        </is>
      </c>
      <c r="H40" s="4" t="inlineStr">
        <is>
          <t>Diseñar con y sin retícula</t>
        </is>
      </c>
      <c r="I40" s="4" t="inlineStr">
        <is>
          <t>Gustavo Gili</t>
        </is>
      </c>
      <c r="J40" s="4" t="inlineStr">
        <is>
          <t>2008</t>
        </is>
      </c>
      <c r="K40" s="4" t="inlineStr">
        <is>
          <t>1ª</t>
        </is>
      </c>
      <c r="L40" s="4" t="inlineStr">
        <is>
          <t>978-8425219726</t>
        </is>
      </c>
      <c r="M40" s="4" t="inlineStr">
        <is>
          <t>Español</t>
        </is>
      </c>
      <c r="N40" s="4" t="inlineStr">
        <is>
          <t>Libro</t>
        </is>
      </c>
      <c r="O40" s="4" t="inlineStr">
        <is>
          <t>Complementaria</t>
        </is>
      </c>
      <c r="P40" s="4" t="n"/>
      <c r="Q40" s="4" t="n"/>
      <c r="R40" s="4" t="n"/>
    </row>
    <row r="41">
      <c r="A41" s="4" t="n">
        <v>2</v>
      </c>
      <c r="B41" s="4" t="inlineStr">
        <is>
          <t>DV 1 NNN</t>
        </is>
      </c>
      <c r="C41" s="4" t="inlineStr">
        <is>
          <t>Estudio de forma, color y estructura</t>
        </is>
      </c>
      <c r="D41" s="4" t="inlineStr">
        <is>
          <t>Estudio</t>
        </is>
      </c>
      <c r="E41" s="4" t="inlineStr">
        <is>
          <t>Profesional</t>
        </is>
      </c>
      <c r="F41" s="4" t="inlineStr">
        <is>
          <t>12</t>
        </is>
      </c>
      <c r="G41" s="4" t="inlineStr">
        <is>
          <t>Wong, Wucius</t>
        </is>
      </c>
      <c r="H41" s="4" t="inlineStr">
        <is>
          <t>Principios del diseño en color</t>
        </is>
      </c>
      <c r="I41" s="4" t="inlineStr">
        <is>
          <t>Gustavo Gili</t>
        </is>
      </c>
      <c r="J41" s="4" t="inlineStr">
        <is>
          <t>1995</t>
        </is>
      </c>
      <c r="K41" s="4" t="inlineStr">
        <is>
          <t>1ª</t>
        </is>
      </c>
      <c r="L41" s="4" t="inlineStr">
        <is>
          <t>978-8425216749</t>
        </is>
      </c>
      <c r="M41" s="4" t="inlineStr">
        <is>
          <t>Español</t>
        </is>
      </c>
      <c r="N41" s="4" t="inlineStr">
        <is>
          <t>Libro</t>
        </is>
      </c>
      <c r="O41" s="4" t="inlineStr">
        <is>
          <t>Complementaria</t>
        </is>
      </c>
      <c r="P41" s="4" t="n"/>
      <c r="Q41" s="4" t="n"/>
      <c r="R41" s="4" t="n"/>
    </row>
    <row r="42">
      <c r="A42" s="3" t="n">
        <v>2</v>
      </c>
      <c r="B42" s="3" t="inlineStr">
        <is>
          <t>DV1NNN</t>
        </is>
      </c>
      <c r="C42" s="3" t="inlineStr">
        <is>
          <t>Tipografía I: Fundamentos</t>
        </is>
      </c>
      <c r="D42" s="3" t="inlineStr">
        <is>
          <t>Disciplinar</t>
        </is>
      </c>
      <c r="E42" s="3" t="inlineStr">
        <is>
          <t>Profesional</t>
        </is>
      </c>
      <c r="F42" s="3" t="inlineStr">
        <is>
          <t>6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4" t="n">
        <v>2</v>
      </c>
      <c r="B43" s="4" t="inlineStr">
        <is>
          <t>DV 1 NNN</t>
        </is>
      </c>
      <c r="C43" s="4" t="inlineStr">
        <is>
          <t>Ilustración aplicada</t>
        </is>
      </c>
      <c r="D43" s="4" t="inlineStr">
        <is>
          <t>Disciplinar</t>
        </is>
      </c>
      <c r="E43" s="4" t="inlineStr">
        <is>
          <t>Profesional</t>
        </is>
      </c>
      <c r="F43" s="4" t="inlineStr">
        <is>
          <t>6</t>
        </is>
      </c>
      <c r="G43" s="4" t="inlineStr">
        <is>
          <t>Salisbury, Martin</t>
        </is>
      </c>
      <c r="H43" s="4" t="inlineStr">
        <is>
          <t>Drawing for Illustration</t>
        </is>
      </c>
      <c r="I43" s="4" t="inlineStr">
        <is>
          <t>Thames &amp; Hudson</t>
        </is>
      </c>
      <c r="J43" s="4" t="inlineStr">
        <is>
          <t>2022</t>
        </is>
      </c>
      <c r="K43" s="4" t="inlineStr">
        <is>
          <t>1ª</t>
        </is>
      </c>
      <c r="L43" s="4" t="inlineStr">
        <is>
          <t>978-0500023846</t>
        </is>
      </c>
      <c r="M43" s="4" t="inlineStr">
        <is>
          <t>Inglés</t>
        </is>
      </c>
      <c r="N43" s="4" t="inlineStr">
        <is>
          <t>Libro</t>
        </is>
      </c>
      <c r="O43" s="4" t="inlineStr">
        <is>
          <t>Básica</t>
        </is>
      </c>
      <c r="P43" s="4" t="n"/>
      <c r="Q43" s="4" t="n"/>
      <c r="R43" s="4" t="n"/>
    </row>
    <row r="44">
      <c r="A44" s="4" t="n">
        <v>2</v>
      </c>
      <c r="B44" s="4" t="inlineStr">
        <is>
          <t>DV 1 NNN</t>
        </is>
      </c>
      <c r="C44" s="4" t="inlineStr">
        <is>
          <t>Ilustración aplicada</t>
        </is>
      </c>
      <c r="D44" s="4" t="inlineStr">
        <is>
          <t>Disciplinar</t>
        </is>
      </c>
      <c r="E44" s="4" t="inlineStr">
        <is>
          <t>Profesional</t>
        </is>
      </c>
      <c r="F44" s="4" t="inlineStr">
        <is>
          <t>6</t>
        </is>
      </c>
      <c r="G44" s="4" t="inlineStr">
        <is>
          <t>Heller, Steven; Chwast, Seymour</t>
        </is>
      </c>
      <c r="H44" s="4" t="inlineStr">
        <is>
          <t>Illustration: A Visual History</t>
        </is>
      </c>
      <c r="I44" s="4" t="inlineStr">
        <is>
          <t>Abrams</t>
        </is>
      </c>
      <c r="J44" s="4" t="inlineStr">
        <is>
          <t>2008</t>
        </is>
      </c>
      <c r="K44" s="4" t="inlineStr">
        <is>
          <t>1ª</t>
        </is>
      </c>
      <c r="L44" s="4" t="inlineStr">
        <is>
          <t>978-0810995116</t>
        </is>
      </c>
      <c r="M44" s="4" t="inlineStr">
        <is>
          <t>Inglés</t>
        </is>
      </c>
      <c r="N44" s="4" t="inlineStr">
        <is>
          <t>Libro</t>
        </is>
      </c>
      <c r="O44" s="4" t="inlineStr">
        <is>
          <t>Básica</t>
        </is>
      </c>
      <c r="P44" s="4" t="n"/>
      <c r="Q44" s="4" t="n"/>
      <c r="R44" s="4" t="n"/>
    </row>
    <row r="45">
      <c r="A45" s="4" t="n">
        <v>2</v>
      </c>
      <c r="B45" s="4" t="inlineStr">
        <is>
          <t>DV 1 NNN</t>
        </is>
      </c>
      <c r="C45" s="4" t="inlineStr">
        <is>
          <t>Ilustración aplicada</t>
        </is>
      </c>
      <c r="D45" s="4" t="inlineStr">
        <is>
          <t>Disciplinar</t>
        </is>
      </c>
      <c r="E45" s="4" t="inlineStr">
        <is>
          <t>Profesional</t>
        </is>
      </c>
      <c r="F45" s="4" t="inlineStr">
        <is>
          <t>6</t>
        </is>
      </c>
      <c r="G45" s="4" t="inlineStr">
        <is>
          <t>Klanten, Robert (ed.)</t>
        </is>
      </c>
      <c r="H45" s="4" t="inlineStr">
        <is>
          <t>Illusive: Contemporary Illustration and its Context</t>
        </is>
      </c>
      <c r="I45" s="4" t="inlineStr">
        <is>
          <t>Gestalten</t>
        </is>
      </c>
      <c r="J45" s="4" t="inlineStr">
        <is>
          <t>2020</t>
        </is>
      </c>
      <c r="K45" s="4" t="inlineStr">
        <is>
          <t>—</t>
        </is>
      </c>
      <c r="L45" s="4" t="inlineStr">
        <is>
          <t>978-3899555011</t>
        </is>
      </c>
      <c r="M45" s="4" t="inlineStr">
        <is>
          <t>Inglés</t>
        </is>
      </c>
      <c r="N45" s="4" t="inlineStr">
        <is>
          <t>Libro</t>
        </is>
      </c>
      <c r="O45" s="4" t="inlineStr">
        <is>
          <t>Básica</t>
        </is>
      </c>
      <c r="P45" s="4" t="n"/>
      <c r="Q45" s="4" t="n"/>
      <c r="R45" s="4" t="n"/>
    </row>
    <row r="46">
      <c r="A46" s="4" t="n">
        <v>2</v>
      </c>
      <c r="B46" s="4" t="inlineStr">
        <is>
          <t>DV 1 NNN</t>
        </is>
      </c>
      <c r="C46" s="4" t="inlineStr">
        <is>
          <t>Ilustración aplicada</t>
        </is>
      </c>
      <c r="D46" s="4" t="inlineStr">
        <is>
          <t>Disciplinar</t>
        </is>
      </c>
      <c r="E46" s="4" t="inlineStr">
        <is>
          <t>Profesional</t>
        </is>
      </c>
      <c r="F46" s="4" t="inlineStr">
        <is>
          <t>6</t>
        </is>
      </c>
      <c r="G46" s="4" t="inlineStr">
        <is>
          <t>Roca, Mireia (ed.)</t>
        </is>
      </c>
      <c r="H46" s="4" t="inlineStr">
        <is>
          <t>Illustration Now! 5</t>
        </is>
      </c>
      <c r="I46" s="4" t="inlineStr">
        <is>
          <t>Taschen</t>
        </is>
      </c>
      <c r="J46" s="4" t="inlineStr">
        <is>
          <t>2017</t>
        </is>
      </c>
      <c r="K46" s="4" t="inlineStr">
        <is>
          <t>1ª</t>
        </is>
      </c>
      <c r="L46" s="4" t="inlineStr">
        <is>
          <t>978-3836544917</t>
        </is>
      </c>
      <c r="M46" s="4" t="inlineStr">
        <is>
          <t>Inglés</t>
        </is>
      </c>
      <c r="N46" s="4" t="inlineStr">
        <is>
          <t>Libro</t>
        </is>
      </c>
      <c r="O46" s="4" t="inlineStr">
        <is>
          <t>Básica</t>
        </is>
      </c>
      <c r="P46" s="4" t="n"/>
      <c r="Q46" s="4" t="n"/>
      <c r="R46" s="4" t="n"/>
    </row>
    <row r="47">
      <c r="A47" s="4" t="n">
        <v>2</v>
      </c>
      <c r="B47" s="4" t="inlineStr">
        <is>
          <t>DV 1 NNN</t>
        </is>
      </c>
      <c r="C47" s="4" t="inlineStr">
        <is>
          <t>Ilustración aplicada</t>
        </is>
      </c>
      <c r="D47" s="4" t="inlineStr">
        <is>
          <t>Disciplinar</t>
        </is>
      </c>
      <c r="E47" s="4" t="inlineStr">
        <is>
          <t>Profesional</t>
        </is>
      </c>
      <c r="F47" s="4" t="inlineStr">
        <is>
          <t>6</t>
        </is>
      </c>
      <c r="G47" s="4" t="inlineStr">
        <is>
          <t>Lupton, Ellen; Cole Phillips, Jennifer</t>
        </is>
      </c>
      <c r="H47" s="4" t="inlineStr">
        <is>
          <t>Diseño gráfico. Nuevos fundamentos</t>
        </is>
      </c>
      <c r="I47" s="4" t="inlineStr">
        <is>
          <t>Gustavo Gili</t>
        </is>
      </c>
      <c r="J47" s="4" t="inlineStr">
        <is>
          <t>2016</t>
        </is>
      </c>
      <c r="K47" s="4" t="inlineStr">
        <is>
          <t>2ª</t>
        </is>
      </c>
      <c r="L47" s="4" t="inlineStr">
        <is>
          <t>978-8425229312</t>
        </is>
      </c>
      <c r="M47" s="4" t="inlineStr">
        <is>
          <t>Español</t>
        </is>
      </c>
      <c r="N47" s="4" t="inlineStr">
        <is>
          <t>Libro</t>
        </is>
      </c>
      <c r="O47" s="4" t="inlineStr">
        <is>
          <t>Básica</t>
        </is>
      </c>
      <c r="P47" s="4" t="n"/>
      <c r="Q47" s="4" t="n"/>
      <c r="R47" s="4" t="n"/>
    </row>
    <row r="48">
      <c r="A48" s="4" t="n">
        <v>2</v>
      </c>
      <c r="B48" s="4" t="inlineStr">
        <is>
          <t>DV 1 NNN</t>
        </is>
      </c>
      <c r="C48" s="4" t="inlineStr">
        <is>
          <t>Ilustración aplicada</t>
        </is>
      </c>
      <c r="D48" s="4" t="inlineStr">
        <is>
          <t>Disciplinar</t>
        </is>
      </c>
      <c r="E48" s="4" t="inlineStr">
        <is>
          <t>Profesional</t>
        </is>
      </c>
      <c r="F48" s="4" t="inlineStr">
        <is>
          <t>6</t>
        </is>
      </c>
      <c r="G48" s="4" t="inlineStr">
        <is>
          <t>González, Bárbara</t>
        </is>
      </c>
      <c r="H48" s="4" t="inlineStr">
        <is>
          <t>Ilustración mexicana contemporánea</t>
        </is>
      </c>
      <c r="I48" s="4" t="inlineStr">
        <is>
          <t>Trilce Ediciones</t>
        </is>
      </c>
      <c r="J48" s="4" t="inlineStr">
        <is>
          <t>2018</t>
        </is>
      </c>
      <c r="K48" s="4" t="inlineStr">
        <is>
          <t>1ª</t>
        </is>
      </c>
      <c r="L48" s="4" t="inlineStr">
        <is>
          <t>978-6075720272</t>
        </is>
      </c>
      <c r="M48" s="4" t="inlineStr">
        <is>
          <t>Español</t>
        </is>
      </c>
      <c r="N48" s="4" t="inlineStr">
        <is>
          <t>Libro</t>
        </is>
      </c>
      <c r="O48" s="4" t="inlineStr">
        <is>
          <t>Complementaria</t>
        </is>
      </c>
      <c r="P48" s="4" t="n"/>
      <c r="Q48" s="4" t="n"/>
      <c r="R48" s="4" t="n"/>
    </row>
    <row r="49">
      <c r="A49" s="4" t="n">
        <v>2</v>
      </c>
      <c r="B49" s="4" t="inlineStr">
        <is>
          <t>DV 1 NNN</t>
        </is>
      </c>
      <c r="C49" s="4" t="inlineStr">
        <is>
          <t>Ilustración aplicada</t>
        </is>
      </c>
      <c r="D49" s="4" t="inlineStr">
        <is>
          <t>Disciplinar</t>
        </is>
      </c>
      <c r="E49" s="4" t="inlineStr">
        <is>
          <t>Profesional</t>
        </is>
      </c>
      <c r="F49" s="4" t="inlineStr">
        <is>
          <t>6</t>
        </is>
      </c>
      <c r="G49" s="4" t="inlineStr">
        <is>
          <t>Heller, Steven; Talarico, Lita</t>
        </is>
      </c>
      <c r="H49" s="4" t="inlineStr">
        <is>
          <t>Becoming a Graphic and Digital Designer</t>
        </is>
      </c>
      <c r="I49" s="4" t="inlineStr">
        <is>
          <t>Wiley</t>
        </is>
      </c>
      <c r="J49" s="4" t="inlineStr">
        <is>
          <t>2015</t>
        </is>
      </c>
      <c r="K49" s="4" t="inlineStr">
        <is>
          <t>1ª</t>
        </is>
      </c>
      <c r="L49" s="4" t="inlineStr">
        <is>
          <t>978-1118771983</t>
        </is>
      </c>
      <c r="M49" s="4" t="inlineStr">
        <is>
          <t>Inglés</t>
        </is>
      </c>
      <c r="N49" s="4" t="inlineStr">
        <is>
          <t>Libro</t>
        </is>
      </c>
      <c r="O49" s="4" t="inlineStr">
        <is>
          <t>Complementaria</t>
        </is>
      </c>
      <c r="P49" s="4" t="n"/>
      <c r="Q49" s="4" t="n"/>
      <c r="R49" s="4" t="n"/>
    </row>
    <row r="50">
      <c r="A50" s="4" t="n">
        <v>2</v>
      </c>
      <c r="B50" s="4" t="inlineStr">
        <is>
          <t>DV 1 NNN</t>
        </is>
      </c>
      <c r="C50" s="4" t="inlineStr">
        <is>
          <t>Ilustración aplicada</t>
        </is>
      </c>
      <c r="D50" s="4" t="inlineStr">
        <is>
          <t>Disciplinar</t>
        </is>
      </c>
      <c r="E50" s="4" t="inlineStr">
        <is>
          <t>Profesional</t>
        </is>
      </c>
      <c r="F50" s="4" t="inlineStr">
        <is>
          <t>6</t>
        </is>
      </c>
      <c r="G50" s="4" t="inlineStr">
        <is>
          <t>Hyland, Angus; Bateman, Steven</t>
        </is>
      </c>
      <c r="H50" s="4" t="inlineStr">
        <is>
          <t>Symbol: The Reference Guide to Abstract and Figurative Trademarks</t>
        </is>
      </c>
      <c r="I50" s="4" t="inlineStr">
        <is>
          <t>Laurence King</t>
        </is>
      </c>
      <c r="J50" s="4" t="inlineStr">
        <is>
          <t>2014</t>
        </is>
      </c>
      <c r="K50" s="4" t="inlineStr">
        <is>
          <t>1ª</t>
        </is>
      </c>
      <c r="L50" s="4" t="inlineStr">
        <is>
          <t>978-1780672762</t>
        </is>
      </c>
      <c r="M50" s="4" t="inlineStr">
        <is>
          <t>Inglés</t>
        </is>
      </c>
      <c r="N50" s="4" t="inlineStr">
        <is>
          <t>Libro</t>
        </is>
      </c>
      <c r="O50" s="4" t="inlineStr">
        <is>
          <t>Complementaria</t>
        </is>
      </c>
      <c r="P50" s="4" t="n"/>
      <c r="Q50" s="4" t="n"/>
      <c r="R50" s="4" t="n"/>
    </row>
    <row r="51">
      <c r="A51" s="4" t="n">
        <v>2</v>
      </c>
      <c r="B51" s="4" t="inlineStr">
        <is>
          <t>DV 1 NNN</t>
        </is>
      </c>
      <c r="C51" s="4" t="inlineStr">
        <is>
          <t>Ilustración aplicada</t>
        </is>
      </c>
      <c r="D51" s="4" t="inlineStr">
        <is>
          <t>Disciplinar</t>
        </is>
      </c>
      <c r="E51" s="4" t="inlineStr">
        <is>
          <t>Profesional</t>
        </is>
      </c>
      <c r="F51" s="4" t="inlineStr">
        <is>
          <t>6</t>
        </is>
      </c>
      <c r="G51" s="4" t="inlineStr">
        <is>
          <t>Wiedemann, Julius (ed.)</t>
        </is>
      </c>
      <c r="H51" s="4" t="inlineStr">
        <is>
          <t>Logo Modernism</t>
        </is>
      </c>
      <c r="I51" s="4" t="inlineStr">
        <is>
          <t>Taschen</t>
        </is>
      </c>
      <c r="J51" s="4" t="inlineStr">
        <is>
          <t>2015</t>
        </is>
      </c>
      <c r="K51" s="4" t="inlineStr">
        <is>
          <t>1ª</t>
        </is>
      </c>
      <c r="L51" s="4" t="inlineStr">
        <is>
          <t>978-3836545303</t>
        </is>
      </c>
      <c r="M51" s="4" t="inlineStr">
        <is>
          <t>Inglés</t>
        </is>
      </c>
      <c r="N51" s="4" t="inlineStr">
        <is>
          <t>Libro</t>
        </is>
      </c>
      <c r="O51" s="4" t="inlineStr">
        <is>
          <t>Complementaria</t>
        </is>
      </c>
      <c r="P51" s="4" t="n"/>
      <c r="Q51" s="4" t="n"/>
      <c r="R51" s="4" t="n"/>
    </row>
    <row r="52">
      <c r="A52" s="4" t="n">
        <v>2</v>
      </c>
      <c r="B52" s="4" t="inlineStr">
        <is>
          <t>DV 1 NNN</t>
        </is>
      </c>
      <c r="C52" s="4" t="inlineStr">
        <is>
          <t>Ilustración aplicada</t>
        </is>
      </c>
      <c r="D52" s="4" t="inlineStr">
        <is>
          <t>Disciplinar</t>
        </is>
      </c>
      <c r="E52" s="4" t="inlineStr">
        <is>
          <t>Profesional</t>
        </is>
      </c>
      <c r="F52" s="4" t="inlineStr">
        <is>
          <t>6</t>
        </is>
      </c>
      <c r="G52" s="4" t="inlineStr">
        <is>
          <t>Recurso digital — It's Nice That</t>
        </is>
      </c>
      <c r="H52" s="4" t="inlineStr">
        <is>
          <t>Plataforma editorial de ilustración y diseño contemporáneo</t>
        </is>
      </c>
      <c r="I52" s="4" t="inlineStr">
        <is>
          <t>itsnicethat.com</t>
        </is>
      </c>
      <c r="J52" s="4" t="inlineStr">
        <is>
          <t>2024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Inglés</t>
        </is>
      </c>
      <c r="N52" s="4" t="inlineStr">
        <is>
          <t>Recurso digital</t>
        </is>
      </c>
      <c r="O52" s="4" t="inlineStr">
        <is>
          <t>Complementaria</t>
        </is>
      </c>
      <c r="P52" s="4" t="n"/>
      <c r="Q52" s="4" t="n"/>
      <c r="R52" s="4" t="n"/>
    </row>
    <row r="53">
      <c r="A53" s="4" t="n">
        <v>2</v>
      </c>
      <c r="B53" s="4" t="inlineStr">
        <is>
          <t>DV 1 NNN</t>
        </is>
      </c>
      <c r="C53" s="4" t="inlineStr">
        <is>
          <t>Ilustración aplicada</t>
        </is>
      </c>
      <c r="D53" s="4" t="inlineStr">
        <is>
          <t>Disciplinar</t>
        </is>
      </c>
      <c r="E53" s="4" t="inlineStr">
        <is>
          <t>Profesional</t>
        </is>
      </c>
      <c r="F53" s="4" t="inlineStr">
        <is>
          <t>6</t>
        </is>
      </c>
      <c r="G53" s="4" t="inlineStr">
        <is>
          <t>Recurso digital — Sistemas de marca</t>
        </is>
      </c>
      <c r="H53" s="4" t="inlineStr">
        <is>
          <t>Manuales públicos de sistemas de ilustración: Stripe, Notion, Linear, Slack, Spotify</t>
        </is>
      </c>
      <c r="I53" s="4" t="inlineStr">
        <is>
          <t>Diversos</t>
        </is>
      </c>
      <c r="J53" s="4" t="inlineStr">
        <is>
          <t>2024</t>
        </is>
      </c>
      <c r="K53" s="4" t="inlineStr">
        <is>
          <t>—</t>
        </is>
      </c>
      <c r="L53" s="4" t="inlineStr">
        <is>
          <t>—</t>
        </is>
      </c>
      <c r="M53" s="4" t="inlineStr">
        <is>
          <t>Inglés</t>
        </is>
      </c>
      <c r="N53" s="4" t="inlineStr">
        <is>
          <t>Recurso digital</t>
        </is>
      </c>
      <c r="O53" s="4" t="inlineStr">
        <is>
          <t>Complementaria</t>
        </is>
      </c>
      <c r="P53" s="4" t="n"/>
      <c r="Q53" s="4" t="n"/>
      <c r="R53" s="4" t="n"/>
    </row>
    <row r="54">
      <c r="A54" s="3" t="n">
        <v>2</v>
      </c>
      <c r="B54" s="3" t="inlineStr">
        <is>
          <t>DV1NNN</t>
        </is>
      </c>
      <c r="C54" s="3" t="inlineStr">
        <is>
          <t>Lenguaje y Significado en el Diseño</t>
        </is>
      </c>
      <c r="D54" s="3" t="inlineStr">
        <is>
          <t>Disciplinar</t>
        </is>
      </c>
      <c r="E54" s="3" t="inlineStr">
        <is>
          <t>Profesional</t>
        </is>
      </c>
      <c r="F54" s="3" t="inlineStr">
        <is>
          <t>6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4" t="n">
        <v>2</v>
      </c>
      <c r="B55" s="4" t="inlineStr">
        <is>
          <t>FU1NNN</t>
        </is>
      </c>
      <c r="C55" s="4" t="inlineStr">
        <is>
          <t>Formación UDEM</t>
        </is>
      </c>
      <c r="D55" s="4" t="inlineStr">
        <is>
          <t>Formación UDEM</t>
        </is>
      </c>
      <c r="E55" s="4" t="inlineStr">
        <is>
          <t>UDEM</t>
        </is>
      </c>
      <c r="F55" s="4" t="inlineStr">
        <is>
          <t>6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3" t="n">
        <v>3</v>
      </c>
      <c r="B56" s="3" t="inlineStr">
        <is>
          <t>DV2NNN</t>
        </is>
      </c>
      <c r="C56" s="3" t="inlineStr">
        <is>
          <t>Identidad de Marca I: Fundamentos</t>
        </is>
      </c>
      <c r="D56" s="3" t="inlineStr">
        <is>
          <t>Estudio</t>
        </is>
      </c>
      <c r="E56" s="3" t="inlineStr">
        <is>
          <t>Profesional</t>
        </is>
      </c>
      <c r="F56" s="3" t="inlineStr">
        <is>
          <t>12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4" t="n">
        <v>3</v>
      </c>
      <c r="B57" s="4" t="inlineStr">
        <is>
          <t>DV2NNN</t>
        </is>
      </c>
      <c r="C57" s="4" t="inlineStr">
        <is>
          <t>Diseño de Información I</t>
        </is>
      </c>
      <c r="D57" s="4" t="inlineStr">
        <is>
          <t>Disciplinar</t>
        </is>
      </c>
      <c r="E57" s="4" t="inlineStr">
        <is>
          <t>Profesional</t>
        </is>
      </c>
      <c r="F57" s="4" t="inlineStr">
        <is>
          <t>6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>
      <c r="A58" s="3" t="n">
        <v>3</v>
      </c>
      <c r="B58" s="3" t="inlineStr">
        <is>
          <t>DV2NNN</t>
        </is>
      </c>
      <c r="C58" s="3" t="inlineStr">
        <is>
          <t>Fotografía para Diseño</t>
        </is>
      </c>
      <c r="D58" s="3" t="inlineStr">
        <is>
          <t>Disciplinar</t>
        </is>
      </c>
      <c r="E58" s="3" t="inlineStr">
        <is>
          <t>Profesional</t>
        </is>
      </c>
      <c r="F58" s="3" t="inlineStr">
        <is>
          <t>6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4" t="n">
        <v>3</v>
      </c>
      <c r="B59" s="4" t="inlineStr">
        <is>
          <t>DV2NNN</t>
        </is>
      </c>
      <c r="C59" s="4" t="inlineStr">
        <is>
          <t>Tipografía II: Aplicaciones</t>
        </is>
      </c>
      <c r="D59" s="4" t="inlineStr">
        <is>
          <t>Disciplinar</t>
        </is>
      </c>
      <c r="E59" s="4" t="inlineStr">
        <is>
          <t>Profesional</t>
        </is>
      </c>
      <c r="F59" s="4" t="inlineStr">
        <is>
          <t>6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>
      <c r="A60" s="3" t="n">
        <v>3</v>
      </c>
      <c r="B60" s="3" t="inlineStr">
        <is>
          <t>DV2NNN</t>
        </is>
      </c>
      <c r="C60" s="3" t="inlineStr">
        <is>
          <t>Direc. Creat. para Med. Audiovis. e Interac.</t>
        </is>
      </c>
      <c r="D60" s="3" t="inlineStr">
        <is>
          <t>Sinergia</t>
        </is>
      </c>
      <c r="E60" s="3" t="inlineStr">
        <is>
          <t>Profesional</t>
        </is>
      </c>
      <c r="F60" s="3" t="inlineStr">
        <is>
          <t>6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>
      <c r="A61" s="4" t="n">
        <v>3</v>
      </c>
      <c r="B61" s="4" t="inlineStr">
        <is>
          <t>FU2NNN</t>
        </is>
      </c>
      <c r="C61" s="4" t="inlineStr">
        <is>
          <t>Formación UDEM</t>
        </is>
      </c>
      <c r="D61" s="4" t="inlineStr">
        <is>
          <t>Formación UDEM</t>
        </is>
      </c>
      <c r="E61" s="4" t="inlineStr">
        <is>
          <t>UDEM</t>
        </is>
      </c>
      <c r="F61" s="4" t="inlineStr">
        <is>
          <t>6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>
      <c r="A62" s="3" t="n">
        <v>4</v>
      </c>
      <c r="B62" s="3" t="inlineStr">
        <is>
          <t>DV2NNN</t>
        </is>
      </c>
      <c r="C62" s="3" t="inlineStr">
        <is>
          <t>Diseño de Información II: Sistemas de Información</t>
        </is>
      </c>
      <c r="D62" s="3" t="inlineStr">
        <is>
          <t>Estudio</t>
        </is>
      </c>
      <c r="E62" s="3" t="inlineStr">
        <is>
          <t>Profesional</t>
        </is>
      </c>
      <c r="F62" s="3" t="inlineStr">
        <is>
          <t>12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>
      <c r="A63" s="4" t="n">
        <v>4</v>
      </c>
      <c r="B63" s="4" t="inlineStr">
        <is>
          <t>DV2NNN</t>
        </is>
      </c>
      <c r="C63" s="4" t="inlineStr">
        <is>
          <t>Gestión de Producción</t>
        </is>
      </c>
      <c r="D63" s="4" t="inlineStr">
        <is>
          <t>Disciplinar</t>
        </is>
      </c>
      <c r="E63" s="4" t="inlineStr">
        <is>
          <t>Profesional</t>
        </is>
      </c>
      <c r="F63" s="4" t="inlineStr">
        <is>
          <t>6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>
      <c r="A64" s="3" t="n">
        <v>4</v>
      </c>
      <c r="B64" s="3" t="inlineStr">
        <is>
          <t>DV2NNN</t>
        </is>
      </c>
      <c r="C64" s="3" t="inlineStr">
        <is>
          <t>Diseño de Empaque</t>
        </is>
      </c>
      <c r="D64" s="3" t="inlineStr">
        <is>
          <t>Disciplinar</t>
        </is>
      </c>
      <c r="E64" s="3" t="inlineStr">
        <is>
          <t>Profesional</t>
        </is>
      </c>
      <c r="F64" s="3" t="inlineStr">
        <is>
          <t>6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>
      <c r="A65" s="5" t="n">
        <v>4</v>
      </c>
      <c r="B65" s="5" t="inlineStr">
        <is>
          <t>DV2NNN</t>
        </is>
      </c>
      <c r="C65" s="5" t="inlineStr">
        <is>
          <t>Dir. de Arte y Fotografía de Producto</t>
        </is>
      </c>
      <c r="D65" s="5" t="inlineStr">
        <is>
          <t>Certificado</t>
        </is>
      </c>
      <c r="E65" s="5" t="inlineStr">
        <is>
          <t>Interdisciplinaria</t>
        </is>
      </c>
      <c r="F65" s="5" t="inlineStr">
        <is>
          <t>6</t>
        </is>
      </c>
      <c r="G65" s="5" t="inlineStr">
        <is>
          <t>Heller, Steven</t>
        </is>
      </c>
      <c r="H65" s="5" t="inlineStr">
        <is>
          <t>Becoming a Graphic and Digital Designer</t>
        </is>
      </c>
      <c r="I65" s="5" t="inlineStr">
        <is>
          <t>Wiley</t>
        </is>
      </c>
      <c r="J65" s="5" t="inlineStr">
        <is>
          <t>2015</t>
        </is>
      </c>
      <c r="K65" s="5" t="inlineStr">
        <is>
          <t>1ª</t>
        </is>
      </c>
      <c r="L65" s="5" t="inlineStr">
        <is>
          <t>978-1118771983</t>
        </is>
      </c>
      <c r="M65" s="5" t="inlineStr">
        <is>
          <t>Inglés</t>
        </is>
      </c>
      <c r="N65" s="5" t="inlineStr">
        <is>
          <t>Libro</t>
        </is>
      </c>
      <c r="O65" s="5" t="inlineStr">
        <is>
          <t>Básica</t>
        </is>
      </c>
      <c r="P65" s="5" t="n"/>
      <c r="Q65" s="5" t="n"/>
      <c r="R65" s="5" t="n"/>
    </row>
    <row r="66">
      <c r="A66" s="5" t="n">
        <v>4</v>
      </c>
      <c r="B66" s="5" t="inlineStr">
        <is>
          <t>DV2NNN</t>
        </is>
      </c>
      <c r="C66" s="5" t="inlineStr">
        <is>
          <t>Dir. de Arte y Fotografía de Producto</t>
        </is>
      </c>
      <c r="D66" s="5" t="inlineStr">
        <is>
          <t>Certificado</t>
        </is>
      </c>
      <c r="E66" s="5" t="inlineStr">
        <is>
          <t>Interdisciplinaria</t>
        </is>
      </c>
      <c r="F66" s="5" t="inlineStr">
        <is>
          <t>6</t>
        </is>
      </c>
      <c r="G66" s="5" t="inlineStr">
        <is>
          <t>Ang, Tom</t>
        </is>
      </c>
      <c r="H66" s="5" t="inlineStr">
        <is>
          <t>Manual del fotógrafo</t>
        </is>
      </c>
      <c r="I66" s="5" t="inlineStr">
        <is>
          <t>Blume</t>
        </is>
      </c>
      <c r="J66" s="5" t="inlineStr">
        <is>
          <t>2020</t>
        </is>
      </c>
      <c r="K66" s="5" t="inlineStr">
        <is>
          <t>5ª</t>
        </is>
      </c>
      <c r="L66" s="5" t="inlineStr">
        <is>
          <t>978-8418075049</t>
        </is>
      </c>
      <c r="M66" s="5" t="inlineStr">
        <is>
          <t>Español</t>
        </is>
      </c>
      <c r="N66" s="5" t="inlineStr">
        <is>
          <t>Libro</t>
        </is>
      </c>
      <c r="O66" s="5" t="inlineStr">
        <is>
          <t>Básica</t>
        </is>
      </c>
      <c r="P66" s="5" t="n"/>
      <c r="Q66" s="5" t="n"/>
      <c r="R66" s="5" t="n"/>
    </row>
    <row r="67">
      <c r="A67" s="5" t="n">
        <v>4</v>
      </c>
      <c r="B67" s="5" t="inlineStr">
        <is>
          <t>DV2NNN</t>
        </is>
      </c>
      <c r="C67" s="5" t="inlineStr">
        <is>
          <t>Dir. de Arte y Fotografía de Producto</t>
        </is>
      </c>
      <c r="D67" s="5" t="inlineStr">
        <is>
          <t>Certificado</t>
        </is>
      </c>
      <c r="E67" s="5" t="inlineStr">
        <is>
          <t>Interdisciplinaria</t>
        </is>
      </c>
      <c r="F67" s="5" t="inlineStr">
        <is>
          <t>6</t>
        </is>
      </c>
      <c r="G67" s="5" t="inlineStr">
        <is>
          <t>Hunter, Fil; Biver, Steven; Fuqua, Paul</t>
        </is>
      </c>
      <c r="H67" s="5" t="inlineStr">
        <is>
          <t>Light: Science and Magic</t>
        </is>
      </c>
      <c r="I67" s="5" t="inlineStr">
        <is>
          <t>Routledge</t>
        </is>
      </c>
      <c r="J67" s="5" t="inlineStr">
        <is>
          <t>2021</t>
        </is>
      </c>
      <c r="K67" s="5" t="inlineStr">
        <is>
          <t>6ª</t>
        </is>
      </c>
      <c r="L67" s="5" t="inlineStr">
        <is>
          <t>978-0367860233</t>
        </is>
      </c>
      <c r="M67" s="5" t="inlineStr">
        <is>
          <t>Inglés</t>
        </is>
      </c>
      <c r="N67" s="5" t="inlineStr">
        <is>
          <t>Libro</t>
        </is>
      </c>
      <c r="O67" s="5" t="inlineStr">
        <is>
          <t>Básica</t>
        </is>
      </c>
      <c r="P67" s="5" t="n"/>
      <c r="Q67" s="5" t="n"/>
      <c r="R67" s="5" t="n"/>
    </row>
    <row r="68">
      <c r="A68" s="5" t="n">
        <v>4</v>
      </c>
      <c r="B68" s="5" t="inlineStr">
        <is>
          <t>DV2NNN</t>
        </is>
      </c>
      <c r="C68" s="5" t="inlineStr">
        <is>
          <t>Dir. de Arte y Fotografía de Producto</t>
        </is>
      </c>
      <c r="D68" s="5" t="inlineStr">
        <is>
          <t>Certificado</t>
        </is>
      </c>
      <c r="E68" s="5" t="inlineStr">
        <is>
          <t>Interdisciplinaria</t>
        </is>
      </c>
      <c r="F68" s="5" t="inlineStr">
        <is>
          <t>6</t>
        </is>
      </c>
      <c r="G68" s="5" t="inlineStr">
        <is>
          <t>Eismann, Katrin</t>
        </is>
      </c>
      <c r="H68" s="5" t="inlineStr">
        <is>
          <t>Photoshop Restoration &amp; Retouching</t>
        </is>
      </c>
      <c r="I68" s="5" t="inlineStr">
        <is>
          <t>New Riders</t>
        </is>
      </c>
      <c r="J68" s="5" t="inlineStr">
        <is>
          <t>2020</t>
        </is>
      </c>
      <c r="K68" s="5" t="inlineStr">
        <is>
          <t>4ª</t>
        </is>
      </c>
      <c r="L68" s="5" t="inlineStr">
        <is>
          <t>978-0321701008</t>
        </is>
      </c>
      <c r="M68" s="5" t="inlineStr">
        <is>
          <t>Inglés</t>
        </is>
      </c>
      <c r="N68" s="5" t="inlineStr">
        <is>
          <t>Libro</t>
        </is>
      </c>
      <c r="O68" s="5" t="inlineStr">
        <is>
          <t>Complementaria</t>
        </is>
      </c>
      <c r="P68" s="5" t="n"/>
      <c r="Q68" s="5" t="n"/>
      <c r="R68" s="5" t="n"/>
    </row>
    <row r="69">
      <c r="A69" s="5" t="n">
        <v>4</v>
      </c>
      <c r="B69" s="5" t="inlineStr">
        <is>
          <t>DV2NNN</t>
        </is>
      </c>
      <c r="C69" s="5" t="inlineStr">
        <is>
          <t>Dir. de Arte y Fotografía de Producto</t>
        </is>
      </c>
      <c r="D69" s="5" t="inlineStr">
        <is>
          <t>Certificado</t>
        </is>
      </c>
      <c r="E69" s="5" t="inlineStr">
        <is>
          <t>Interdisciplinaria</t>
        </is>
      </c>
      <c r="F69" s="5" t="inlineStr">
        <is>
          <t>6</t>
        </is>
      </c>
      <c r="G69" s="5" t="inlineStr">
        <is>
          <t>Galer, Mark; Horvat, Les</t>
        </is>
      </c>
      <c r="H69" s="5" t="inlineStr">
        <is>
          <t>Digital Imaging</t>
        </is>
      </c>
      <c r="I69" s="5" t="inlineStr">
        <is>
          <t>Routledge</t>
        </is>
      </c>
      <c r="J69" s="5" t="inlineStr">
        <is>
          <t>2016</t>
        </is>
      </c>
      <c r="K69" s="5" t="inlineStr">
        <is>
          <t>4ª</t>
        </is>
      </c>
      <c r="L69" s="5" t="inlineStr">
        <is>
          <t>978-1138807037</t>
        </is>
      </c>
      <c r="M69" s="5" t="inlineStr">
        <is>
          <t>Inglés</t>
        </is>
      </c>
      <c r="N69" s="5" t="inlineStr">
        <is>
          <t>Libro</t>
        </is>
      </c>
      <c r="O69" s="5" t="inlineStr">
        <is>
          <t>Complementaria</t>
        </is>
      </c>
      <c r="P69" s="5" t="n"/>
      <c r="Q69" s="5" t="n"/>
      <c r="R69" s="5" t="n"/>
    </row>
    <row r="70">
      <c r="A70" s="5" t="n">
        <v>4</v>
      </c>
      <c r="B70" s="5" t="inlineStr">
        <is>
          <t>DV2NNN</t>
        </is>
      </c>
      <c r="C70" s="5" t="inlineStr">
        <is>
          <t>Gestión de Proyectos Creativos</t>
        </is>
      </c>
      <c r="D70" s="5" t="inlineStr">
        <is>
          <t>Certificado</t>
        </is>
      </c>
      <c r="E70" s="5" t="inlineStr">
        <is>
          <t>Interdisciplinaria</t>
        </is>
      </c>
      <c r="F70" s="5" t="inlineStr">
        <is>
          <t>6</t>
        </is>
      </c>
      <c r="G70" s="5" t="inlineStr">
        <is>
          <t>Project Management Institute</t>
        </is>
      </c>
      <c r="H70" s="5" t="inlineStr">
        <is>
          <t>Guía del PMBOK</t>
        </is>
      </c>
      <c r="I70" s="5" t="inlineStr">
        <is>
          <t>PMI</t>
        </is>
      </c>
      <c r="J70" s="5" t="inlineStr">
        <is>
          <t>2021</t>
        </is>
      </c>
      <c r="K70" s="5" t="inlineStr">
        <is>
          <t>7ª</t>
        </is>
      </c>
      <c r="L70" s="5" t="inlineStr">
        <is>
          <t>978-1628256642</t>
        </is>
      </c>
      <c r="M70" s="5" t="inlineStr">
        <is>
          <t>Español</t>
        </is>
      </c>
      <c r="N70" s="5" t="inlineStr">
        <is>
          <t>Libro</t>
        </is>
      </c>
      <c r="O70" s="5" t="inlineStr">
        <is>
          <t>Básica</t>
        </is>
      </c>
      <c r="P70" s="5" t="n"/>
      <c r="Q70" s="5" t="n"/>
      <c r="R70" s="5" t="n"/>
    </row>
    <row r="71">
      <c r="A71" s="5" t="n">
        <v>4</v>
      </c>
      <c r="B71" s="5" t="inlineStr">
        <is>
          <t>DV2NNN</t>
        </is>
      </c>
      <c r="C71" s="5" t="inlineStr">
        <is>
          <t>Gestión de Proyectos Creativos</t>
        </is>
      </c>
      <c r="D71" s="5" t="inlineStr">
        <is>
          <t>Certificado</t>
        </is>
      </c>
      <c r="E71" s="5" t="inlineStr">
        <is>
          <t>Interdisciplinaria</t>
        </is>
      </c>
      <c r="F71" s="5" t="inlineStr">
        <is>
          <t>6</t>
        </is>
      </c>
      <c r="G71" s="5" t="inlineStr">
        <is>
          <t>Sutherland, Jeff</t>
        </is>
      </c>
      <c r="H71" s="5" t="inlineStr">
        <is>
          <t>Scrum: el arte de hacer el doble de trabajo en la mitad de tiempo</t>
        </is>
      </c>
      <c r="I71" s="5" t="inlineStr">
        <is>
          <t>Ariel</t>
        </is>
      </c>
      <c r="J71" s="5" t="inlineStr">
        <is>
          <t>2016</t>
        </is>
      </c>
      <c r="K71" s="5" t="inlineStr">
        <is>
          <t>1ª</t>
        </is>
      </c>
      <c r="L71" s="5" t="inlineStr">
        <is>
          <t>978-8434424388</t>
        </is>
      </c>
      <c r="M71" s="5" t="inlineStr">
        <is>
          <t>Español</t>
        </is>
      </c>
      <c r="N71" s="5" t="inlineStr">
        <is>
          <t>Libro</t>
        </is>
      </c>
      <c r="O71" s="5" t="inlineStr">
        <is>
          <t>Básica</t>
        </is>
      </c>
      <c r="P71" s="5" t="n"/>
      <c r="Q71" s="5" t="n"/>
      <c r="R71" s="5" t="n"/>
    </row>
    <row r="72">
      <c r="A72" s="5" t="n">
        <v>4</v>
      </c>
      <c r="B72" s="5" t="inlineStr">
        <is>
          <t>DV2NNN</t>
        </is>
      </c>
      <c r="C72" s="5" t="inlineStr">
        <is>
          <t>Gestión de Proyectos Creativos</t>
        </is>
      </c>
      <c r="D72" s="5" t="inlineStr">
        <is>
          <t>Certificado</t>
        </is>
      </c>
      <c r="E72" s="5" t="inlineStr">
        <is>
          <t>Interdisciplinaria</t>
        </is>
      </c>
      <c r="F72" s="5" t="inlineStr">
        <is>
          <t>6</t>
        </is>
      </c>
      <c r="G72" s="5" t="inlineStr">
        <is>
          <t>Lockwood, Thomas</t>
        </is>
      </c>
      <c r="H72" s="5" t="inlineStr">
        <is>
          <t>Design Thinking: Integrating Innovation, Customer Experience and Brand Value</t>
        </is>
      </c>
      <c r="I72" s="5" t="inlineStr">
        <is>
          <t>Allworth Press</t>
        </is>
      </c>
      <c r="J72" s="5" t="inlineStr">
        <is>
          <t>2010</t>
        </is>
      </c>
      <c r="K72" s="5" t="inlineStr">
        <is>
          <t>1ª</t>
        </is>
      </c>
      <c r="L72" s="5" t="inlineStr">
        <is>
          <t>978-1581157345</t>
        </is>
      </c>
      <c r="M72" s="5" t="inlineStr">
        <is>
          <t>Inglés</t>
        </is>
      </c>
      <c r="N72" s="5" t="inlineStr">
        <is>
          <t>Libro</t>
        </is>
      </c>
      <c r="O72" s="5" t="inlineStr">
        <is>
          <t>Complementaria</t>
        </is>
      </c>
      <c r="P72" s="5" t="n"/>
      <c r="Q72" s="5" t="n"/>
      <c r="R72" s="5" t="n"/>
    </row>
    <row r="73">
      <c r="A73" s="5" t="n">
        <v>4</v>
      </c>
      <c r="B73" s="5" t="inlineStr">
        <is>
          <t>DV2NNN</t>
        </is>
      </c>
      <c r="C73" s="5" t="inlineStr">
        <is>
          <t>Gestión de Proyectos Creativos</t>
        </is>
      </c>
      <c r="D73" s="5" t="inlineStr">
        <is>
          <t>Certificado</t>
        </is>
      </c>
      <c r="E73" s="5" t="inlineStr">
        <is>
          <t>Interdisciplinaria</t>
        </is>
      </c>
      <c r="F73" s="5" t="inlineStr">
        <is>
          <t>6</t>
        </is>
      </c>
      <c r="G73" s="5" t="inlineStr">
        <is>
          <t>Phillips, Peter L.</t>
        </is>
      </c>
      <c r="H73" s="5" t="inlineStr">
        <is>
          <t>Creating the Perfect Design Brief</t>
        </is>
      </c>
      <c r="I73" s="5" t="inlineStr">
        <is>
          <t>Allworth Press</t>
        </is>
      </c>
      <c r="J73" s="5" t="inlineStr">
        <is>
          <t>2012</t>
        </is>
      </c>
      <c r="K73" s="5" t="inlineStr">
        <is>
          <t>2ª</t>
        </is>
      </c>
      <c r="L73" s="5" t="inlineStr">
        <is>
          <t>978-1581159042</t>
        </is>
      </c>
      <c r="M73" s="5" t="inlineStr">
        <is>
          <t>Inglés</t>
        </is>
      </c>
      <c r="N73" s="5" t="inlineStr">
        <is>
          <t>Libro</t>
        </is>
      </c>
      <c r="O73" s="5" t="inlineStr">
        <is>
          <t>Complementaria</t>
        </is>
      </c>
      <c r="P73" s="5" t="n"/>
      <c r="Q73" s="5" t="n"/>
      <c r="R73" s="5" t="n"/>
    </row>
    <row r="74">
      <c r="A74" s="5" t="n">
        <v>4</v>
      </c>
      <c r="B74" s="5" t="inlineStr">
        <is>
          <t>DV2NNN</t>
        </is>
      </c>
      <c r="C74" s="5" t="inlineStr">
        <is>
          <t>Gestión de Proyectos Creativos</t>
        </is>
      </c>
      <c r="D74" s="5" t="inlineStr">
        <is>
          <t>Certificado</t>
        </is>
      </c>
      <c r="E74" s="5" t="inlineStr">
        <is>
          <t>Interdisciplinaria</t>
        </is>
      </c>
      <c r="F74" s="5" t="inlineStr">
        <is>
          <t>6</t>
        </is>
      </c>
      <c r="G74" s="5" t="inlineStr">
        <is>
          <t>Schmidt, Aaron; Etches, Amanda</t>
        </is>
      </c>
      <c r="H74" s="5" t="inlineStr">
        <is>
          <t>Useful, Usable, Desirable</t>
        </is>
      </c>
      <c r="I74" s="5" t="inlineStr">
        <is>
          <t>ALA Editions</t>
        </is>
      </c>
      <c r="J74" s="5" t="inlineStr">
        <is>
          <t>2014</t>
        </is>
      </c>
      <c r="K74" s="5" t="inlineStr">
        <is>
          <t>1ª</t>
        </is>
      </c>
      <c r="L74" s="5" t="inlineStr">
        <is>
          <t>978-0838912263</t>
        </is>
      </c>
      <c r="M74" s="5" t="inlineStr">
        <is>
          <t>Inglés</t>
        </is>
      </c>
      <c r="N74" s="5" t="inlineStr">
        <is>
          <t>Libro</t>
        </is>
      </c>
      <c r="O74" s="5" t="inlineStr">
        <is>
          <t>Complementaria</t>
        </is>
      </c>
      <c r="P74" s="5" t="n"/>
      <c r="Q74" s="5" t="n"/>
      <c r="R74" s="5" t="n"/>
    </row>
    <row r="75">
      <c r="A75" s="4" t="n">
        <v>4</v>
      </c>
      <c r="B75" s="4" t="inlineStr">
        <is>
          <t>FU2NNN</t>
        </is>
      </c>
      <c r="C75" s="4" t="inlineStr">
        <is>
          <t>Formación UDEM</t>
        </is>
      </c>
      <c r="D75" s="4" t="inlineStr">
        <is>
          <t>Formación UDEM</t>
        </is>
      </c>
      <c r="E75" s="4" t="inlineStr">
        <is>
          <t>UDEM</t>
        </is>
      </c>
      <c r="F75" s="4" t="inlineStr">
        <is>
          <t>6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>
      <c r="A76" s="3" t="n">
        <v>5</v>
      </c>
      <c r="B76" s="3" t="inlineStr">
        <is>
          <t>DV3NNN</t>
        </is>
      </c>
      <c r="C76" s="3" t="inlineStr">
        <is>
          <t>Identidad de Marca II: Implementación</t>
        </is>
      </c>
      <c r="D76" s="3" t="inlineStr">
        <is>
          <t>Estudio</t>
        </is>
      </c>
      <c r="E76" s="3" t="inlineStr">
        <is>
          <t>Profesional</t>
        </is>
      </c>
      <c r="F76" s="3" t="inlineStr">
        <is>
          <t>12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>
      <c r="A77" s="4" t="n">
        <v>5</v>
      </c>
      <c r="B77" s="4" t="inlineStr">
        <is>
          <t>DV3NNN</t>
        </is>
      </c>
      <c r="C77" s="4" t="inlineStr">
        <is>
          <t>Portafolio Profesional</t>
        </is>
      </c>
      <c r="D77" s="4" t="inlineStr">
        <is>
          <t>Disciplinar</t>
        </is>
      </c>
      <c r="E77" s="4" t="inlineStr">
        <is>
          <t>Profesional</t>
        </is>
      </c>
      <c r="F77" s="4" t="inlineStr">
        <is>
          <t>6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>
      <c r="A78" s="3" t="n">
        <v>5</v>
      </c>
      <c r="B78" s="3" t="inlineStr">
        <is>
          <t>DV3NNN</t>
        </is>
      </c>
      <c r="C78" s="3" t="inlineStr">
        <is>
          <t>Diseño de Futuros</t>
        </is>
      </c>
      <c r="D78" s="3" t="inlineStr">
        <is>
          <t>Sinergia</t>
        </is>
      </c>
      <c r="E78" s="3" t="inlineStr">
        <is>
          <t>Profesional</t>
        </is>
      </c>
      <c r="F78" s="3" t="inlineStr">
        <is>
          <t>6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>
      <c r="A79" s="5" t="n">
        <v>5</v>
      </c>
      <c r="B79" s="5" t="inlineStr">
        <is>
          <t>DV3NNN</t>
        </is>
      </c>
      <c r="C79" s="5" t="inlineStr">
        <is>
          <t>Dirección Visual de Marca</t>
        </is>
      </c>
      <c r="D79" s="5" t="inlineStr">
        <is>
          <t>Certificado</t>
        </is>
      </c>
      <c r="E79" s="5" t="inlineStr">
        <is>
          <t>Interdisciplinaria</t>
        </is>
      </c>
      <c r="F79" s="5" t="inlineStr">
        <is>
          <t>6</t>
        </is>
      </c>
      <c r="G79" s="5" t="inlineStr">
        <is>
          <t>Wheeler, Alina</t>
        </is>
      </c>
      <c r="H79" s="5" t="inlineStr">
        <is>
          <t>Designing Brand Identity</t>
        </is>
      </c>
      <c r="I79" s="5" t="inlineStr">
        <is>
          <t>Wiley</t>
        </is>
      </c>
      <c r="J79" s="5" t="inlineStr">
        <is>
          <t>2017</t>
        </is>
      </c>
      <c r="K79" s="5" t="inlineStr">
        <is>
          <t>5ª</t>
        </is>
      </c>
      <c r="L79" s="5" t="inlineStr">
        <is>
          <t>978-1118980828</t>
        </is>
      </c>
      <c r="M79" s="5" t="inlineStr">
        <is>
          <t>Inglés</t>
        </is>
      </c>
      <c r="N79" s="5" t="inlineStr">
        <is>
          <t>Libro</t>
        </is>
      </c>
      <c r="O79" s="5" t="inlineStr">
        <is>
          <t>Básica</t>
        </is>
      </c>
      <c r="P79" s="5" t="n"/>
      <c r="Q79" s="5" t="n"/>
      <c r="R79" s="5" t="n"/>
    </row>
    <row r="80">
      <c r="A80" s="5" t="n">
        <v>5</v>
      </c>
      <c r="B80" s="5" t="inlineStr">
        <is>
          <t>DV3NNN</t>
        </is>
      </c>
      <c r="C80" s="5" t="inlineStr">
        <is>
          <t>Dirección Visual de Marca</t>
        </is>
      </c>
      <c r="D80" s="5" t="inlineStr">
        <is>
          <t>Certificado</t>
        </is>
      </c>
      <c r="E80" s="5" t="inlineStr">
        <is>
          <t>Interdisciplinaria</t>
        </is>
      </c>
      <c r="F80" s="5" t="inlineStr">
        <is>
          <t>6</t>
        </is>
      </c>
      <c r="G80" s="5" t="inlineStr">
        <is>
          <t>Davis, Melissa</t>
        </is>
      </c>
      <c r="H80" s="5" t="inlineStr">
        <is>
          <t>Mucho más que un nombre: Una introducción a la gestión de marcas</t>
        </is>
      </c>
      <c r="I80" s="5" t="inlineStr">
        <is>
          <t>Parramón</t>
        </is>
      </c>
      <c r="J80" s="5" t="inlineStr">
        <is>
          <t>2011</t>
        </is>
      </c>
      <c r="K80" s="5" t="inlineStr">
        <is>
          <t>1ª</t>
        </is>
      </c>
      <c r="L80" s="5" t="inlineStr">
        <is>
          <t>978-8434237261</t>
        </is>
      </c>
      <c r="M80" s="5" t="inlineStr">
        <is>
          <t>Español</t>
        </is>
      </c>
      <c r="N80" s="5" t="inlineStr">
        <is>
          <t>Libro</t>
        </is>
      </c>
      <c r="O80" s="5" t="inlineStr">
        <is>
          <t>Básica</t>
        </is>
      </c>
      <c r="P80" s="5" t="n"/>
      <c r="Q80" s="5" t="n"/>
      <c r="R80" s="5" t="n"/>
    </row>
    <row r="81">
      <c r="A81" s="5" t="n">
        <v>5</v>
      </c>
      <c r="B81" s="5" t="inlineStr">
        <is>
          <t>DV3NNN</t>
        </is>
      </c>
      <c r="C81" s="5" t="inlineStr">
        <is>
          <t>Dirección Visual de Marca</t>
        </is>
      </c>
      <c r="D81" s="5" t="inlineStr">
        <is>
          <t>Certificado</t>
        </is>
      </c>
      <c r="E81" s="5" t="inlineStr">
        <is>
          <t>Interdisciplinaria</t>
        </is>
      </c>
      <c r="F81" s="5" t="inlineStr">
        <is>
          <t>6</t>
        </is>
      </c>
      <c r="G81" s="5" t="inlineStr">
        <is>
          <t>Olins, Wally</t>
        </is>
      </c>
      <c r="H81" s="5" t="inlineStr">
        <is>
          <t>Brand New: The Shape of Brands to Come</t>
        </is>
      </c>
      <c r="I81" s="5" t="inlineStr">
        <is>
          <t>Thames &amp; Hudson</t>
        </is>
      </c>
      <c r="J81" s="5" t="inlineStr">
        <is>
          <t>2014</t>
        </is>
      </c>
      <c r="K81" s="5" t="inlineStr">
        <is>
          <t>1ª</t>
        </is>
      </c>
      <c r="L81" s="5" t="inlineStr">
        <is>
          <t>978-0500517482</t>
        </is>
      </c>
      <c r="M81" s="5" t="inlineStr">
        <is>
          <t>Inglés</t>
        </is>
      </c>
      <c r="N81" s="5" t="inlineStr">
        <is>
          <t>Libro</t>
        </is>
      </c>
      <c r="O81" s="5" t="inlineStr">
        <is>
          <t>Complementaria</t>
        </is>
      </c>
      <c r="P81" s="5" t="n"/>
      <c r="Q81" s="5" t="n"/>
      <c r="R81" s="5" t="n"/>
    </row>
    <row r="82">
      <c r="A82" s="5" t="n">
        <v>5</v>
      </c>
      <c r="B82" s="5" t="inlineStr">
        <is>
          <t>DV3NNN</t>
        </is>
      </c>
      <c r="C82" s="5" t="inlineStr">
        <is>
          <t>Dirección Visual de Marca</t>
        </is>
      </c>
      <c r="D82" s="5" t="inlineStr">
        <is>
          <t>Certificado</t>
        </is>
      </c>
      <c r="E82" s="5" t="inlineStr">
        <is>
          <t>Interdisciplinaria</t>
        </is>
      </c>
      <c r="F82" s="5" t="inlineStr">
        <is>
          <t>6</t>
        </is>
      </c>
      <c r="G82" s="5" t="inlineStr">
        <is>
          <t>Healey, Matthew</t>
        </is>
      </c>
      <c r="H82" s="5" t="inlineStr">
        <is>
          <t>¿Qué es el branding?</t>
        </is>
      </c>
      <c r="I82" s="5" t="inlineStr">
        <is>
          <t>Gustavo Gili</t>
        </is>
      </c>
      <c r="J82" s="5" t="inlineStr">
        <is>
          <t>2009</t>
        </is>
      </c>
      <c r="K82" s="5" t="inlineStr">
        <is>
          <t>1ª</t>
        </is>
      </c>
      <c r="L82" s="5" t="inlineStr">
        <is>
          <t>978-8425222931</t>
        </is>
      </c>
      <c r="M82" s="5" t="inlineStr">
        <is>
          <t>Español</t>
        </is>
      </c>
      <c r="N82" s="5" t="inlineStr">
        <is>
          <t>Libro</t>
        </is>
      </c>
      <c r="O82" s="5" t="inlineStr">
        <is>
          <t>Básica</t>
        </is>
      </c>
      <c r="P82" s="5" t="n"/>
      <c r="Q82" s="5" t="n"/>
      <c r="R82" s="5" t="n"/>
    </row>
    <row r="83">
      <c r="A83" s="5" t="n">
        <v>5</v>
      </c>
      <c r="B83" s="5" t="inlineStr">
        <is>
          <t>DV3NNN</t>
        </is>
      </c>
      <c r="C83" s="5" t="inlineStr">
        <is>
          <t>Dirección Visual de Marca</t>
        </is>
      </c>
      <c r="D83" s="5" t="inlineStr">
        <is>
          <t>Certificado</t>
        </is>
      </c>
      <c r="E83" s="5" t="inlineStr">
        <is>
          <t>Interdisciplinaria</t>
        </is>
      </c>
      <c r="F83" s="5" t="inlineStr">
        <is>
          <t>6</t>
        </is>
      </c>
      <c r="G83" s="5" t="inlineStr">
        <is>
          <t>Costa, Joan</t>
        </is>
      </c>
      <c r="H83" s="5" t="inlineStr">
        <is>
          <t>La marca: creación, diseño y gestión</t>
        </is>
      </c>
      <c r="I83" s="5" t="inlineStr">
        <is>
          <t>Trillas</t>
        </is>
      </c>
      <c r="J83" s="5" t="inlineStr">
        <is>
          <t>2017</t>
        </is>
      </c>
      <c r="K83" s="5" t="inlineStr">
        <is>
          <t>2ª</t>
        </is>
      </c>
      <c r="L83" s="5" t="inlineStr">
        <is>
          <t>978-6071729408</t>
        </is>
      </c>
      <c r="M83" s="5" t="inlineStr">
        <is>
          <t>Español</t>
        </is>
      </c>
      <c r="N83" s="5" t="inlineStr">
        <is>
          <t>Libro</t>
        </is>
      </c>
      <c r="O83" s="5" t="inlineStr">
        <is>
          <t>Complementaria</t>
        </is>
      </c>
      <c r="P83" s="5" t="n"/>
      <c r="Q83" s="5" t="n"/>
      <c r="R83" s="5" t="n"/>
    </row>
    <row r="84">
      <c r="A84" s="3" t="n">
        <v>5</v>
      </c>
      <c r="B84" s="3" t="inlineStr">
        <is>
          <t>FU3NNN</t>
        </is>
      </c>
      <c r="C84" s="3" t="inlineStr">
        <is>
          <t>Formación UDEM</t>
        </is>
      </c>
      <c r="D84" s="3" t="inlineStr">
        <is>
          <t>Formación UDEM</t>
        </is>
      </c>
      <c r="E84" s="3" t="inlineStr">
        <is>
          <t>UDEM</t>
        </is>
      </c>
      <c r="F84" s="3" t="inlineStr">
        <is>
          <t>6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>
      <c r="A85" s="4" t="n">
        <v>5</v>
      </c>
      <c r="B85" s="4" t="inlineStr">
        <is>
          <t>CG3NNN</t>
        </is>
      </c>
      <c r="C85" s="4" t="inlineStr">
        <is>
          <t>Conocimiento General</t>
        </is>
      </c>
      <c r="D85" s="4" t="inlineStr">
        <is>
          <t>Conocimiento General</t>
        </is>
      </c>
      <c r="E85" s="4" t="inlineStr">
        <is>
          <t>Conocimiento General</t>
        </is>
      </c>
      <c r="F85" s="4" t="inlineStr">
        <is>
          <t>6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>
      <c r="A86" s="3" t="n">
        <v>6</v>
      </c>
      <c r="B86" s="3" t="inlineStr">
        <is>
          <t>DV 3 NNN</t>
        </is>
      </c>
      <c r="C86" s="3" t="inlineStr">
        <is>
          <t>Estudio de Diseño de Interacción</t>
        </is>
      </c>
      <c r="D86" s="3" t="inlineStr">
        <is>
          <t>Estudio</t>
        </is>
      </c>
      <c r="E86" s="3" t="inlineStr">
        <is>
          <t>Profesional</t>
        </is>
      </c>
      <c r="F86" s="3" t="inlineStr">
        <is>
          <t>12</t>
        </is>
      </c>
      <c r="G86" s="3" t="inlineStr">
        <is>
          <t>Cooper, Alan; Reimann, Robert; Cronin, David; Noessel, Christopher</t>
        </is>
      </c>
      <c r="H86" s="3" t="inlineStr">
        <is>
          <t>About Face: The Essentials of Interaction Design</t>
        </is>
      </c>
      <c r="I86" s="3" t="inlineStr">
        <is>
          <t>Wiley</t>
        </is>
      </c>
      <c r="J86" s="3" t="inlineStr">
        <is>
          <t>2014</t>
        </is>
      </c>
      <c r="K86" s="3" t="inlineStr">
        <is>
          <t>4ª</t>
        </is>
      </c>
      <c r="L86" s="3" t="inlineStr">
        <is>
          <t>978-1118766576</t>
        </is>
      </c>
      <c r="M86" s="3" t="inlineStr">
        <is>
          <t>Inglés</t>
        </is>
      </c>
      <c r="N86" s="3" t="inlineStr">
        <is>
          <t>Libro</t>
        </is>
      </c>
      <c r="O86" s="3" t="inlineStr">
        <is>
          <t>Básica</t>
        </is>
      </c>
      <c r="P86" s="3" t="n"/>
      <c r="Q86" s="3" t="n"/>
      <c r="R86" s="3" t="n"/>
    </row>
    <row r="87">
      <c r="A87" s="4" t="n">
        <v>6</v>
      </c>
      <c r="B87" s="4" t="inlineStr">
        <is>
          <t>DV 3 NNN</t>
        </is>
      </c>
      <c r="C87" s="4" t="inlineStr">
        <is>
          <t>Estudio de Diseño de Interacción</t>
        </is>
      </c>
      <c r="D87" s="4" t="inlineStr">
        <is>
          <t>Estudio</t>
        </is>
      </c>
      <c r="E87" s="4" t="inlineStr">
        <is>
          <t>Profesional</t>
        </is>
      </c>
      <c r="F87" s="4" t="inlineStr">
        <is>
          <t>12</t>
        </is>
      </c>
      <c r="G87" s="4" t="inlineStr">
        <is>
          <t>Norman, Donald A.</t>
        </is>
      </c>
      <c r="H87" s="4" t="inlineStr">
        <is>
          <t>La psicología de los objetos cotidianos</t>
        </is>
      </c>
      <c r="I87" s="4" t="inlineStr">
        <is>
          <t>Nerea</t>
        </is>
      </c>
      <c r="J87" s="4" t="inlineStr">
        <is>
          <t>2017</t>
        </is>
      </c>
      <c r="K87" s="4" t="inlineStr">
        <is>
          <t>1ª</t>
        </is>
      </c>
      <c r="L87" s="4" t="inlineStr">
        <is>
          <t>978-8489569843</t>
        </is>
      </c>
      <c r="M87" s="4" t="inlineStr">
        <is>
          <t>Español</t>
        </is>
      </c>
      <c r="N87" s="4" t="inlineStr">
        <is>
          <t>Libro</t>
        </is>
      </c>
      <c r="O87" s="4" t="inlineStr">
        <is>
          <t>Básica</t>
        </is>
      </c>
      <c r="P87" s="4" t="n"/>
      <c r="Q87" s="4" t="n"/>
      <c r="R87" s="4" t="n"/>
    </row>
    <row r="88">
      <c r="A88" s="4" t="n">
        <v>6</v>
      </c>
      <c r="B88" s="4" t="inlineStr">
        <is>
          <t>DV 3 NNN</t>
        </is>
      </c>
      <c r="C88" s="4" t="inlineStr">
        <is>
          <t>Estudio de Diseño de Interacción</t>
        </is>
      </c>
      <c r="D88" s="4" t="inlineStr">
        <is>
          <t>Estudio</t>
        </is>
      </c>
      <c r="E88" s="4" t="inlineStr">
        <is>
          <t>Profesional</t>
        </is>
      </c>
      <c r="F88" s="4" t="inlineStr">
        <is>
          <t>12</t>
        </is>
      </c>
      <c r="G88" s="4" t="inlineStr">
        <is>
          <t>Saffer, Dan</t>
        </is>
      </c>
      <c r="H88" s="4" t="inlineStr">
        <is>
          <t>Designing for Interaction</t>
        </is>
      </c>
      <c r="I88" s="4" t="inlineStr">
        <is>
          <t>New Riders</t>
        </is>
      </c>
      <c r="J88" s="4" t="inlineStr">
        <is>
          <t>2009</t>
        </is>
      </c>
      <c r="K88" s="4" t="inlineStr">
        <is>
          <t>2ª</t>
        </is>
      </c>
      <c r="L88" s="4" t="inlineStr">
        <is>
          <t>978-0321643391</t>
        </is>
      </c>
      <c r="M88" s="4" t="inlineStr">
        <is>
          <t>Inglés</t>
        </is>
      </c>
      <c r="N88" s="4" t="inlineStr">
        <is>
          <t>Libro</t>
        </is>
      </c>
      <c r="O88" s="4" t="inlineStr">
        <is>
          <t>Básica</t>
        </is>
      </c>
      <c r="P88" s="4" t="n"/>
      <c r="Q88" s="4" t="n"/>
      <c r="R88" s="4" t="n"/>
    </row>
    <row r="89">
      <c r="A89" s="4" t="n">
        <v>6</v>
      </c>
      <c r="B89" s="4" t="inlineStr">
        <is>
          <t>DV 3 NNN</t>
        </is>
      </c>
      <c r="C89" s="4" t="inlineStr">
        <is>
          <t>Estudio de Diseño de Interacción</t>
        </is>
      </c>
      <c r="D89" s="4" t="inlineStr">
        <is>
          <t>Estudio</t>
        </is>
      </c>
      <c r="E89" s="4" t="inlineStr">
        <is>
          <t>Profesional</t>
        </is>
      </c>
      <c r="F89" s="4" t="inlineStr">
        <is>
          <t>12</t>
        </is>
      </c>
      <c r="G89" s="4" t="inlineStr">
        <is>
          <t>Krug, Steve</t>
        </is>
      </c>
      <c r="H89" s="4" t="inlineStr">
        <is>
          <t>No me hagas pensar: Actualización: Una aproximación a la usabilidad web</t>
        </is>
      </c>
      <c r="I89" s="4" t="inlineStr">
        <is>
          <t>Pearson</t>
        </is>
      </c>
      <c r="J89" s="4" t="inlineStr">
        <is>
          <t>2014</t>
        </is>
      </c>
      <c r="K89" s="4" t="inlineStr">
        <is>
          <t>3ª</t>
        </is>
      </c>
      <c r="L89" s="4" t="inlineStr">
        <is>
          <t>978-8415552987</t>
        </is>
      </c>
      <c r="M89" s="4" t="inlineStr">
        <is>
          <t>Español</t>
        </is>
      </c>
      <c r="N89" s="4" t="inlineStr">
        <is>
          <t>Libro</t>
        </is>
      </c>
      <c r="O89" s="4" t="inlineStr">
        <is>
          <t>Básica</t>
        </is>
      </c>
      <c r="P89" s="4" t="n"/>
      <c r="Q89" s="4" t="n"/>
      <c r="R89" s="4" t="n"/>
    </row>
    <row r="90">
      <c r="A90" s="4" t="n">
        <v>6</v>
      </c>
      <c r="B90" s="4" t="inlineStr">
        <is>
          <t>DV 3 NNN</t>
        </is>
      </c>
      <c r="C90" s="4" t="inlineStr">
        <is>
          <t>Estudio de Diseño de Interacción</t>
        </is>
      </c>
      <c r="D90" s="4" t="inlineStr">
        <is>
          <t>Estudio</t>
        </is>
      </c>
      <c r="E90" s="4" t="inlineStr">
        <is>
          <t>Profesional</t>
        </is>
      </c>
      <c r="F90" s="4" t="inlineStr">
        <is>
          <t>12</t>
        </is>
      </c>
      <c r="G90" s="4" t="inlineStr">
        <is>
          <t>Hassenzahl, Marc</t>
        </is>
      </c>
      <c r="H90" s="4" t="inlineStr">
        <is>
          <t>Experience Design: Technology for All the Right Reasons</t>
        </is>
      </c>
      <c r="I90" s="4" t="inlineStr">
        <is>
          <t>Morgan &amp; Claypool</t>
        </is>
      </c>
      <c r="J90" s="4" t="inlineStr">
        <is>
          <t>2010</t>
        </is>
      </c>
      <c r="K90" s="4" t="inlineStr">
        <is>
          <t>1ª</t>
        </is>
      </c>
      <c r="L90" s="4" t="inlineStr">
        <is>
          <t>978-1608450480</t>
        </is>
      </c>
      <c r="M90" s="4" t="inlineStr">
        <is>
          <t>Inglés</t>
        </is>
      </c>
      <c r="N90" s="4" t="inlineStr">
        <is>
          <t>Libro</t>
        </is>
      </c>
      <c r="O90" s="4" t="inlineStr">
        <is>
          <t>Complementaria</t>
        </is>
      </c>
      <c r="P90" s="4" t="n"/>
      <c r="Q90" s="4" t="n"/>
      <c r="R90" s="4" t="n"/>
    </row>
    <row r="91">
      <c r="A91" s="4" t="n">
        <v>6</v>
      </c>
      <c r="B91" s="4" t="inlineStr">
        <is>
          <t>DV 3 NNN</t>
        </is>
      </c>
      <c r="C91" s="4" t="inlineStr">
        <is>
          <t>Estudio de Diseño de Interacción</t>
        </is>
      </c>
      <c r="D91" s="4" t="inlineStr">
        <is>
          <t>Estudio</t>
        </is>
      </c>
      <c r="E91" s="4" t="inlineStr">
        <is>
          <t>Profesional</t>
        </is>
      </c>
      <c r="F91" s="4" t="inlineStr">
        <is>
          <t>12</t>
        </is>
      </c>
      <c r="G91" s="4" t="inlineStr">
        <is>
          <t>Buxton, Bill</t>
        </is>
      </c>
      <c r="H91" s="4" t="inlineStr">
        <is>
          <t>Sketching User Experiences: Getting the Design Right and the Right Design</t>
        </is>
      </c>
      <c r="I91" s="4" t="inlineStr">
        <is>
          <t>Morgan Kaufmann</t>
        </is>
      </c>
      <c r="J91" s="4" t="inlineStr">
        <is>
          <t>2007</t>
        </is>
      </c>
      <c r="K91" s="4" t="inlineStr">
        <is>
          <t>1ª</t>
        </is>
      </c>
      <c r="L91" s="4" t="inlineStr">
        <is>
          <t>978-0123740373</t>
        </is>
      </c>
      <c r="M91" s="4" t="inlineStr">
        <is>
          <t>Inglés</t>
        </is>
      </c>
      <c r="N91" s="4" t="inlineStr">
        <is>
          <t>Libro</t>
        </is>
      </c>
      <c r="O91" s="4" t="inlineStr">
        <is>
          <t>Complementaria</t>
        </is>
      </c>
      <c r="P91" s="4" t="n"/>
      <c r="Q91" s="4" t="n"/>
      <c r="R91" s="4" t="n"/>
    </row>
    <row r="92">
      <c r="A92" s="4" t="n">
        <v>6</v>
      </c>
      <c r="B92" s="4" t="inlineStr">
        <is>
          <t>DV 3 NNN</t>
        </is>
      </c>
      <c r="C92" s="4" t="inlineStr">
        <is>
          <t>Estudio de Diseño de Interacción</t>
        </is>
      </c>
      <c r="D92" s="4" t="inlineStr">
        <is>
          <t>Estudio</t>
        </is>
      </c>
      <c r="E92" s="4" t="inlineStr">
        <is>
          <t>Profesional</t>
        </is>
      </c>
      <c r="F92" s="4" t="inlineStr">
        <is>
          <t>12</t>
        </is>
      </c>
      <c r="G92" s="4" t="inlineStr">
        <is>
          <t>Nielsen, Jakob</t>
        </is>
      </c>
      <c r="H92" s="4" t="inlineStr">
        <is>
          <t>Usability Engineering</t>
        </is>
      </c>
      <c r="I92" s="4" t="inlineStr">
        <is>
          <t>Morgan Kaufmann</t>
        </is>
      </c>
      <c r="J92" s="4" t="inlineStr">
        <is>
          <t>1993</t>
        </is>
      </c>
      <c r="K92" s="4" t="inlineStr">
        <is>
          <t>1ª</t>
        </is>
      </c>
      <c r="L92" s="4" t="inlineStr">
        <is>
          <t>978-0125184069</t>
        </is>
      </c>
      <c r="M92" s="4" t="inlineStr">
        <is>
          <t>Inglés</t>
        </is>
      </c>
      <c r="N92" s="4" t="inlineStr">
        <is>
          <t>Libro</t>
        </is>
      </c>
      <c r="O92" s="4" t="inlineStr">
        <is>
          <t>Complementaria</t>
        </is>
      </c>
      <c r="P92" s="4" t="n"/>
      <c r="Q92" s="4" t="n"/>
      <c r="R92" s="4" t="n"/>
    </row>
    <row r="93">
      <c r="A93" s="4" t="n">
        <v>6</v>
      </c>
      <c r="B93" s="4" t="inlineStr">
        <is>
          <t>DV 3 NNN</t>
        </is>
      </c>
      <c r="C93" s="4" t="inlineStr">
        <is>
          <t>Estudio de Diseño de Interacción</t>
        </is>
      </c>
      <c r="D93" s="4" t="inlineStr">
        <is>
          <t>Estudio</t>
        </is>
      </c>
      <c r="E93" s="4" t="inlineStr">
        <is>
          <t>Profesional</t>
        </is>
      </c>
      <c r="F93" s="4" t="inlineStr">
        <is>
          <t>12</t>
        </is>
      </c>
      <c r="G93" s="4" t="inlineStr">
        <is>
          <t>Holtzblatt, Karen; Beyer, Hugh</t>
        </is>
      </c>
      <c r="H93" s="4" t="inlineStr">
        <is>
          <t>Contextual Design: Design for Life</t>
        </is>
      </c>
      <c r="I93" s="4" t="inlineStr">
        <is>
          <t>Morgan Kaufmann</t>
        </is>
      </c>
      <c r="J93" s="4" t="inlineStr">
        <is>
          <t>2016</t>
        </is>
      </c>
      <c r="K93" s="4" t="inlineStr">
        <is>
          <t>2ª</t>
        </is>
      </c>
      <c r="L93" s="4" t="inlineStr">
        <is>
          <t>978-0128008942</t>
        </is>
      </c>
      <c r="M93" s="4" t="inlineStr">
        <is>
          <t>Inglés</t>
        </is>
      </c>
      <c r="N93" s="4" t="inlineStr">
        <is>
          <t>Libro</t>
        </is>
      </c>
      <c r="O93" s="4" t="inlineStr">
        <is>
          <t>Complementaria</t>
        </is>
      </c>
      <c r="P93" s="4" t="n"/>
      <c r="Q93" s="4" t="n"/>
      <c r="R93" s="4" t="n"/>
    </row>
    <row r="94">
      <c r="A94" s="4" t="n">
        <v>6</v>
      </c>
      <c r="B94" s="4" t="inlineStr">
        <is>
          <t>DV 3 NNN</t>
        </is>
      </c>
      <c r="C94" s="4" t="inlineStr">
        <is>
          <t>Estudio de Diseño de Interacción</t>
        </is>
      </c>
      <c r="D94" s="4" t="inlineStr">
        <is>
          <t>Estudio</t>
        </is>
      </c>
      <c r="E94" s="4" t="inlineStr">
        <is>
          <t>Profesional</t>
        </is>
      </c>
      <c r="F94" s="4" t="inlineStr">
        <is>
          <t>12</t>
        </is>
      </c>
      <c r="G94" s="4" t="inlineStr">
        <is>
          <t>World Wide Web Consortium (W3C)</t>
        </is>
      </c>
      <c r="H94" s="4" t="inlineStr">
        <is>
          <t>Web Content Accessibility Guidelines (WCAG) 2.2</t>
        </is>
      </c>
      <c r="I94" s="4" t="inlineStr">
        <is>
          <t>W3C</t>
        </is>
      </c>
      <c r="J94" s="4" t="inlineStr">
        <is>
          <t>2023</t>
        </is>
      </c>
      <c r="K94" s="4" t="inlineStr">
        <is>
          <t>—</t>
        </is>
      </c>
      <c r="L94" s="4" t="inlineStr">
        <is>
          <t>—</t>
        </is>
      </c>
      <c r="M94" s="4" t="inlineStr">
        <is>
          <t>Inglés</t>
        </is>
      </c>
      <c r="N94" s="4" t="inlineStr">
        <is>
          <t>Norma técnica</t>
        </is>
      </c>
      <c r="O94" s="4" t="inlineStr">
        <is>
          <t>Básica</t>
        </is>
      </c>
      <c r="P94" s="4" t="n"/>
      <c r="Q94" s="4" t="n"/>
      <c r="R94" s="4" t="n"/>
    </row>
    <row r="95">
      <c r="A95" s="4" t="n">
        <v>6</v>
      </c>
      <c r="B95" s="4" t="inlineStr">
        <is>
          <t>DV 3 NNN</t>
        </is>
      </c>
      <c r="C95" s="4" t="inlineStr">
        <is>
          <t>Estudio de Diseño de Interacción</t>
        </is>
      </c>
      <c r="D95" s="4" t="inlineStr">
        <is>
          <t>Estudio</t>
        </is>
      </c>
      <c r="E95" s="4" t="inlineStr">
        <is>
          <t>Profesional</t>
        </is>
      </c>
      <c r="F95" s="4" t="inlineStr">
        <is>
          <t>12</t>
        </is>
      </c>
      <c r="G95" s="4" t="inlineStr">
        <is>
          <t>Microsoft</t>
        </is>
      </c>
      <c r="H95" s="4" t="inlineStr">
        <is>
          <t>Inclusive Design Toolkit</t>
        </is>
      </c>
      <c r="I95" s="4" t="inlineStr">
        <is>
          <t>Microsoft Design</t>
        </is>
      </c>
      <c r="J95" s="4" t="inlineStr">
        <is>
          <t>2016</t>
        </is>
      </c>
      <c r="K95" s="4" t="inlineStr">
        <is>
          <t>—</t>
        </is>
      </c>
      <c r="L95" s="4" t="inlineStr">
        <is>
          <t>—</t>
        </is>
      </c>
      <c r="M95" s="4" t="inlineStr">
        <is>
          <t>Inglés</t>
        </is>
      </c>
      <c r="N95" s="4" t="inlineStr">
        <is>
          <t>Recurso digital</t>
        </is>
      </c>
      <c r="O95" s="4" t="inlineStr">
        <is>
          <t>Complementaria</t>
        </is>
      </c>
      <c r="P95" s="4" t="n"/>
      <c r="Q95" s="4" t="n"/>
      <c r="R95" s="4" t="n"/>
    </row>
    <row r="96">
      <c r="A96" s="4" t="n">
        <v>6</v>
      </c>
      <c r="B96" s="4" t="inlineStr">
        <is>
          <t>DV3NNN</t>
        </is>
      </c>
      <c r="C96" s="4" t="inlineStr">
        <is>
          <t>Diseño de Experiencia</t>
        </is>
      </c>
      <c r="D96" s="4" t="inlineStr">
        <is>
          <t>Disciplinar</t>
        </is>
      </c>
      <c r="E96" s="4" t="inlineStr">
        <is>
          <t>Profesional</t>
        </is>
      </c>
      <c r="F96" s="4" t="inlineStr">
        <is>
          <t>6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>
      <c r="A97" s="3" t="n">
        <v>6</v>
      </c>
      <c r="B97" s="3" t="inlineStr">
        <is>
          <t>DV3NNN</t>
        </is>
      </c>
      <c r="C97" s="3" t="inlineStr">
        <is>
          <t>Prototipado de Experiencias</t>
        </is>
      </c>
      <c r="D97" s="3" t="inlineStr">
        <is>
          <t>Disciplinar</t>
        </is>
      </c>
      <c r="E97" s="3" t="inlineStr">
        <is>
          <t>Profesional</t>
        </is>
      </c>
      <c r="F97" s="3" t="inlineStr">
        <is>
          <t>6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4" t="n">
        <v>6</v>
      </c>
      <c r="B98" s="4" t="inlineStr">
        <is>
          <t>DV3NNN</t>
        </is>
      </c>
      <c r="C98" s="4" t="inlineStr">
        <is>
          <t>Producción Artística Interdisciplinaria</t>
        </is>
      </c>
      <c r="D98" s="4" t="inlineStr">
        <is>
          <t>Sinergia</t>
        </is>
      </c>
      <c r="E98" s="4" t="inlineStr">
        <is>
          <t>Profesional</t>
        </is>
      </c>
      <c r="F98" s="4" t="inlineStr">
        <is>
          <t>6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>
      <c r="A99" s="5" t="n">
        <v>6</v>
      </c>
      <c r="B99" s="5" t="inlineStr">
        <is>
          <t>DV3NNN</t>
        </is>
      </c>
      <c r="C99" s="5" t="inlineStr">
        <is>
          <t>Animación Gráfica y Contenido Digital</t>
        </is>
      </c>
      <c r="D99" s="5" t="inlineStr">
        <is>
          <t>Certificado</t>
        </is>
      </c>
      <c r="E99" s="5" t="inlineStr">
        <is>
          <t>Interdisciplinaria</t>
        </is>
      </c>
      <c r="F99" s="5" t="inlineStr">
        <is>
          <t>6</t>
        </is>
      </c>
      <c r="G99" s="5" t="inlineStr">
        <is>
          <t>Williams, Richard</t>
        </is>
      </c>
      <c r="H99" s="5" t="inlineStr">
        <is>
          <t>The Animator's Survival Kit</t>
        </is>
      </c>
      <c r="I99" s="5" t="inlineStr">
        <is>
          <t>Faber &amp; Faber</t>
        </is>
      </c>
      <c r="J99" s="5" t="inlineStr">
        <is>
          <t>2012</t>
        </is>
      </c>
      <c r="K99" s="5" t="inlineStr">
        <is>
          <t>3ª</t>
        </is>
      </c>
      <c r="L99" s="5" t="inlineStr">
        <is>
          <t>978-0571238330</t>
        </is>
      </c>
      <c r="M99" s="5" t="inlineStr">
        <is>
          <t>Inglés</t>
        </is>
      </c>
      <c r="N99" s="5" t="inlineStr">
        <is>
          <t>Libro</t>
        </is>
      </c>
      <c r="O99" s="5" t="inlineStr">
        <is>
          <t>Básica</t>
        </is>
      </c>
      <c r="P99" s="5" t="n"/>
      <c r="Q99" s="5" t="n"/>
      <c r="R99" s="5" t="n"/>
    </row>
    <row r="100">
      <c r="A100" s="5" t="n">
        <v>6</v>
      </c>
      <c r="B100" s="5" t="inlineStr">
        <is>
          <t>DV3NNN</t>
        </is>
      </c>
      <c r="C100" s="5" t="inlineStr">
        <is>
          <t>Animación Gráfica y Contenido Digital</t>
        </is>
      </c>
      <c r="D100" s="5" t="inlineStr">
        <is>
          <t>Certificado</t>
        </is>
      </c>
      <c r="E100" s="5" t="inlineStr">
        <is>
          <t>Interdisciplinaria</t>
        </is>
      </c>
      <c r="F100" s="5" t="inlineStr">
        <is>
          <t>6</t>
        </is>
      </c>
      <c r="G100" s="5" t="inlineStr">
        <is>
          <t>Krasner, Jon</t>
        </is>
      </c>
      <c r="H100" s="5" t="inlineStr">
        <is>
          <t>Motion Graphic Design: Applied History and Aesthetics</t>
        </is>
      </c>
      <c r="I100" s="5" t="inlineStr">
        <is>
          <t>Routledge</t>
        </is>
      </c>
      <c r="J100" s="5" t="inlineStr">
        <is>
          <t>2019</t>
        </is>
      </c>
      <c r="K100" s="5" t="inlineStr">
        <is>
          <t>4ª</t>
        </is>
      </c>
      <c r="L100" s="5" t="inlineStr">
        <is>
          <t>978-1138484511</t>
        </is>
      </c>
      <c r="M100" s="5" t="inlineStr">
        <is>
          <t>Inglés</t>
        </is>
      </c>
      <c r="N100" s="5" t="inlineStr">
        <is>
          <t>Libro</t>
        </is>
      </c>
      <c r="O100" s="5" t="inlineStr">
        <is>
          <t>Básica</t>
        </is>
      </c>
      <c r="P100" s="5" t="n"/>
      <c r="Q100" s="5" t="n"/>
      <c r="R100" s="5" t="n"/>
    </row>
    <row r="101">
      <c r="A101" s="5" t="n">
        <v>6</v>
      </c>
      <c r="B101" s="5" t="inlineStr">
        <is>
          <t>DV3NNN</t>
        </is>
      </c>
      <c r="C101" s="5" t="inlineStr">
        <is>
          <t>Animación Gráfica y Contenido Digital</t>
        </is>
      </c>
      <c r="D101" s="5" t="inlineStr">
        <is>
          <t>Certificado</t>
        </is>
      </c>
      <c r="E101" s="5" t="inlineStr">
        <is>
          <t>Interdisciplinaria</t>
        </is>
      </c>
      <c r="F101" s="5" t="inlineStr">
        <is>
          <t>6</t>
        </is>
      </c>
      <c r="G101" s="5" t="inlineStr">
        <is>
          <t>Curran, Steve</t>
        </is>
      </c>
      <c r="H101" s="5" t="inlineStr">
        <is>
          <t>Motion Graphics: Graphic Design for Broadcast and Film</t>
        </is>
      </c>
      <c r="I101" s="5" t="inlineStr">
        <is>
          <t>Rockport</t>
        </is>
      </c>
      <c r="J101" s="5" t="inlineStr">
        <is>
          <t>2001</t>
        </is>
      </c>
      <c r="K101" s="5" t="inlineStr">
        <is>
          <t>1ª</t>
        </is>
      </c>
      <c r="L101" s="5" t="inlineStr">
        <is>
          <t>978-1564967824</t>
        </is>
      </c>
      <c r="M101" s="5" t="inlineStr">
        <is>
          <t>Inglés</t>
        </is>
      </c>
      <c r="N101" s="5" t="inlineStr">
        <is>
          <t>Libro</t>
        </is>
      </c>
      <c r="O101" s="5" t="inlineStr">
        <is>
          <t>Complementaria</t>
        </is>
      </c>
      <c r="P101" s="5" t="n"/>
      <c r="Q101" s="5" t="n"/>
      <c r="R101" s="5" t="n"/>
    </row>
    <row r="102">
      <c r="A102" s="5" t="n">
        <v>6</v>
      </c>
      <c r="B102" s="5" t="inlineStr">
        <is>
          <t>DV3NNN</t>
        </is>
      </c>
      <c r="C102" s="5" t="inlineStr">
        <is>
          <t>Animación Gráfica y Contenido Digital</t>
        </is>
      </c>
      <c r="D102" s="5" t="inlineStr">
        <is>
          <t>Certificado</t>
        </is>
      </c>
      <c r="E102" s="5" t="inlineStr">
        <is>
          <t>Interdisciplinaria</t>
        </is>
      </c>
      <c r="F102" s="5" t="inlineStr">
        <is>
          <t>6</t>
        </is>
      </c>
      <c r="G102" s="5" t="inlineStr">
        <is>
          <t>Webster, Chris</t>
        </is>
      </c>
      <c r="H102" s="5" t="inlineStr">
        <is>
          <t>Animation: The Mechanics of Motion</t>
        </is>
      </c>
      <c r="I102" s="5" t="inlineStr">
        <is>
          <t>Routledge</t>
        </is>
      </c>
      <c r="J102" s="5" t="inlineStr">
        <is>
          <t>2012</t>
        </is>
      </c>
      <c r="K102" s="5" t="inlineStr">
        <is>
          <t>1ª</t>
        </is>
      </c>
      <c r="L102" s="5" t="inlineStr">
        <is>
          <t>978-0240516660</t>
        </is>
      </c>
      <c r="M102" s="5" t="inlineStr">
        <is>
          <t>Inglés</t>
        </is>
      </c>
      <c r="N102" s="5" t="inlineStr">
        <is>
          <t>Libro</t>
        </is>
      </c>
      <c r="O102" s="5" t="inlineStr">
        <is>
          <t>Complementaria</t>
        </is>
      </c>
      <c r="P102" s="5" t="n"/>
      <c r="Q102" s="5" t="n"/>
      <c r="R102" s="5" t="n"/>
    </row>
    <row r="103">
      <c r="A103" s="5" t="n">
        <v>6</v>
      </c>
      <c r="B103" s="5" t="inlineStr">
        <is>
          <t>DV3NNN</t>
        </is>
      </c>
      <c r="C103" s="5" t="inlineStr">
        <is>
          <t>Animación Gráfica y Contenido Digital</t>
        </is>
      </c>
      <c r="D103" s="5" t="inlineStr">
        <is>
          <t>Certificado</t>
        </is>
      </c>
      <c r="E103" s="5" t="inlineStr">
        <is>
          <t>Interdisciplinaria</t>
        </is>
      </c>
      <c r="F103" s="5" t="inlineStr">
        <is>
          <t>6</t>
        </is>
      </c>
      <c r="G103" s="5" t="inlineStr">
        <is>
          <t>Drate, Spencer; Robbins, David</t>
        </is>
      </c>
      <c r="H103" s="5" t="inlineStr">
        <is>
          <t>Motion by Design</t>
        </is>
      </c>
      <c r="I103" s="5" t="inlineStr">
        <is>
          <t>Laurence King</t>
        </is>
      </c>
      <c r="J103" s="5" t="inlineStr">
        <is>
          <t>2010</t>
        </is>
      </c>
      <c r="K103" s="5" t="inlineStr">
        <is>
          <t>1ª</t>
        </is>
      </c>
      <c r="L103" s="5" t="inlineStr">
        <is>
          <t>978-1856696630</t>
        </is>
      </c>
      <c r="M103" s="5" t="inlineStr">
        <is>
          <t>Inglés</t>
        </is>
      </c>
      <c r="N103" s="5" t="inlineStr">
        <is>
          <t>Libro</t>
        </is>
      </c>
      <c r="O103" s="5" t="inlineStr">
        <is>
          <t>Complementaria</t>
        </is>
      </c>
      <c r="P103" s="5" t="n"/>
      <c r="Q103" s="5" t="n"/>
      <c r="R103" s="5" t="n"/>
    </row>
    <row r="104">
      <c r="A104" s="4" t="n">
        <v>6</v>
      </c>
      <c r="B104" s="4" t="inlineStr">
        <is>
          <t>CG3NNN</t>
        </is>
      </c>
      <c r="C104" s="4" t="inlineStr">
        <is>
          <t>Conocimiento General</t>
        </is>
      </c>
      <c r="D104" s="4" t="inlineStr">
        <is>
          <t>Conocimiento General</t>
        </is>
      </c>
      <c r="E104" s="4" t="inlineStr">
        <is>
          <t>Conocimiento General</t>
        </is>
      </c>
      <c r="F104" s="4" t="inlineStr">
        <is>
          <t>6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>
      <c r="A105" s="3" t="n">
        <v>7</v>
      </c>
      <c r="B105" s="3" t="inlineStr">
        <is>
          <t>DV4NNN</t>
        </is>
      </c>
      <c r="C105" s="3" t="inlineStr">
        <is>
          <t>Diseño de Servicios</t>
        </is>
      </c>
      <c r="D105" s="3" t="inlineStr">
        <is>
          <t>Estudio</t>
        </is>
      </c>
      <c r="E105" s="3" t="inlineStr">
        <is>
          <t>Profesional</t>
        </is>
      </c>
      <c r="F105" s="3" t="inlineStr">
        <is>
          <t>12</t>
        </is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4" t="n">
        <v>7</v>
      </c>
      <c r="B106" s="4" t="inlineStr">
        <is>
          <t>DV4NNN</t>
        </is>
      </c>
      <c r="C106" s="4" t="inlineStr">
        <is>
          <t>Prácticas Profesionales</t>
        </is>
      </c>
      <c r="D106" s="4" t="inlineStr">
        <is>
          <t>Prácticas</t>
        </is>
      </c>
      <c r="E106" s="4" t="inlineStr">
        <is>
          <t>Profesional</t>
        </is>
      </c>
      <c r="F106" s="4" t="inlineStr">
        <is>
          <t>6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>
      <c r="A107" s="3" t="n">
        <v>7</v>
      </c>
      <c r="B107" s="3" t="inlineStr">
        <is>
          <t>DV4NNN</t>
        </is>
      </c>
      <c r="C107" s="3" t="inlineStr">
        <is>
          <t>Innovación en Diseño</t>
        </is>
      </c>
      <c r="D107" s="3" t="inlineStr">
        <is>
          <t>Sinergia</t>
        </is>
      </c>
      <c r="E107" s="3" t="inlineStr">
        <is>
          <t>Profesional</t>
        </is>
      </c>
      <c r="F107" s="3" t="inlineStr">
        <is>
          <t>6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5" t="n">
        <v>7</v>
      </c>
      <c r="B108" s="5" t="inlineStr">
        <is>
          <t>DV4NNN</t>
        </is>
      </c>
      <c r="C108" s="5" t="inlineStr">
        <is>
          <t>Inteligencia Artificial Aplicada al Diseño Visual</t>
        </is>
      </c>
      <c r="D108" s="5" t="inlineStr">
        <is>
          <t>Certificado</t>
        </is>
      </c>
      <c r="E108" s="5" t="inlineStr">
        <is>
          <t>Interdisciplinaria</t>
        </is>
      </c>
      <c r="F108" s="5" t="inlineStr">
        <is>
          <t>6</t>
        </is>
      </c>
      <c r="G108" s="5" t="inlineStr">
        <is>
          <t>Vincent, James</t>
        </is>
      </c>
      <c r="H108" s="5" t="inlineStr">
        <is>
          <t>Beyond Measure: The Hidden History of Measurement</t>
        </is>
      </c>
      <c r="I108" s="5" t="inlineStr">
        <is>
          <t>Faber &amp; Faber</t>
        </is>
      </c>
      <c r="J108" s="5" t="inlineStr">
        <is>
          <t>2022</t>
        </is>
      </c>
      <c r="K108" s="5" t="inlineStr">
        <is>
          <t>1ª</t>
        </is>
      </c>
      <c r="L108" s="5" t="inlineStr">
        <is>
          <t>978-0571337989</t>
        </is>
      </c>
      <c r="M108" s="5" t="inlineStr">
        <is>
          <t>Inglés</t>
        </is>
      </c>
      <c r="N108" s="5" t="inlineStr">
        <is>
          <t>Libro</t>
        </is>
      </c>
      <c r="O108" s="5" t="inlineStr">
        <is>
          <t>Complementaria</t>
        </is>
      </c>
      <c r="P108" s="5" t="n"/>
      <c r="Q108" s="5" t="n"/>
      <c r="R108" s="5" t="n"/>
    </row>
    <row r="109">
      <c r="A109" s="5" t="n">
        <v>7</v>
      </c>
      <c r="B109" s="5" t="inlineStr">
        <is>
          <t>DV4NNN</t>
        </is>
      </c>
      <c r="C109" s="5" t="inlineStr">
        <is>
          <t>Inteligencia Artificial Aplicada al Diseño Visual</t>
        </is>
      </c>
      <c r="D109" s="5" t="inlineStr">
        <is>
          <t>Certificado</t>
        </is>
      </c>
      <c r="E109" s="5" t="inlineStr">
        <is>
          <t>Interdisciplinaria</t>
        </is>
      </c>
      <c r="F109" s="5" t="inlineStr">
        <is>
          <t>6</t>
        </is>
      </c>
      <c r="G109" s="5" t="inlineStr">
        <is>
          <t>Floridi, Luciano</t>
        </is>
      </c>
      <c r="H109" s="5" t="inlineStr">
        <is>
          <t>Ética de la inteligencia artificial</t>
        </is>
      </c>
      <c r="I109" s="5" t="inlineStr">
        <is>
          <t>Herder</t>
        </is>
      </c>
      <c r="J109" s="5" t="inlineStr">
        <is>
          <t>2022</t>
        </is>
      </c>
      <c r="K109" s="5" t="inlineStr">
        <is>
          <t>1ª</t>
        </is>
      </c>
      <c r="L109" s="5" t="inlineStr">
        <is>
          <t>978-8425447129</t>
        </is>
      </c>
      <c r="M109" s="5" t="inlineStr">
        <is>
          <t>Español</t>
        </is>
      </c>
      <c r="N109" s="5" t="inlineStr">
        <is>
          <t>Libro</t>
        </is>
      </c>
      <c r="O109" s="5" t="inlineStr">
        <is>
          <t>Básica</t>
        </is>
      </c>
      <c r="P109" s="5" t="n"/>
      <c r="Q109" s="5" t="n"/>
      <c r="R109" s="5" t="n"/>
    </row>
    <row r="110">
      <c r="A110" s="5" t="n">
        <v>7</v>
      </c>
      <c r="B110" s="5" t="inlineStr">
        <is>
          <t>DV4NNN</t>
        </is>
      </c>
      <c r="C110" s="5" t="inlineStr">
        <is>
          <t>Inteligencia Artificial Aplicada al Diseño Visual</t>
        </is>
      </c>
      <c r="D110" s="5" t="inlineStr">
        <is>
          <t>Certificado</t>
        </is>
      </c>
      <c r="E110" s="5" t="inlineStr">
        <is>
          <t>Interdisciplinaria</t>
        </is>
      </c>
      <c r="F110" s="5" t="inlineStr">
        <is>
          <t>6</t>
        </is>
      </c>
      <c r="G110" s="5" t="inlineStr">
        <is>
          <t>Russell, Stuart</t>
        </is>
      </c>
      <c r="H110" s="5" t="inlineStr">
        <is>
          <t>Human Compatible: Artificial Intelligence and the Problem of Control</t>
        </is>
      </c>
      <c r="I110" s="5" t="inlineStr">
        <is>
          <t>Penguin</t>
        </is>
      </c>
      <c r="J110" s="5" t="inlineStr">
        <is>
          <t>2020</t>
        </is>
      </c>
      <c r="K110" s="5" t="inlineStr">
        <is>
          <t>1ª</t>
        </is>
      </c>
      <c r="L110" s="5" t="inlineStr">
        <is>
          <t>978-0525558637</t>
        </is>
      </c>
      <c r="M110" s="5" t="inlineStr">
        <is>
          <t>Inglés</t>
        </is>
      </c>
      <c r="N110" s="5" t="inlineStr">
        <is>
          <t>Libro</t>
        </is>
      </c>
      <c r="O110" s="5" t="inlineStr">
        <is>
          <t>Básica</t>
        </is>
      </c>
      <c r="P110" s="5" t="n"/>
      <c r="Q110" s="5" t="n"/>
      <c r="R110" s="5" t="n"/>
    </row>
    <row r="111">
      <c r="A111" s="5" t="n">
        <v>7</v>
      </c>
      <c r="B111" s="5" t="inlineStr">
        <is>
          <t>DV4NNN</t>
        </is>
      </c>
      <c r="C111" s="5" t="inlineStr">
        <is>
          <t>Inteligencia Artificial Aplicada al Diseño Visual</t>
        </is>
      </c>
      <c r="D111" s="5" t="inlineStr">
        <is>
          <t>Certificado</t>
        </is>
      </c>
      <c r="E111" s="5" t="inlineStr">
        <is>
          <t>Interdisciplinaria</t>
        </is>
      </c>
      <c r="F111" s="5" t="inlineStr">
        <is>
          <t>6</t>
        </is>
      </c>
      <c r="G111" s="5" t="inlineStr">
        <is>
          <t>Manovich, Lev</t>
        </is>
      </c>
      <c r="H111" s="5" t="inlineStr">
        <is>
          <t>AI Aesthetics</t>
        </is>
      </c>
      <c r="I111" s="5" t="inlineStr">
        <is>
          <t>Strelka Press</t>
        </is>
      </c>
      <c r="J111" s="5" t="inlineStr">
        <is>
          <t>2018</t>
        </is>
      </c>
      <c r="K111" s="5" t="inlineStr">
        <is>
          <t>1ª</t>
        </is>
      </c>
      <c r="L111" s="5" t="inlineStr">
        <is>
          <t>978-5990558380</t>
        </is>
      </c>
      <c r="M111" s="5" t="inlineStr">
        <is>
          <t>Inglés</t>
        </is>
      </c>
      <c r="N111" s="5" t="inlineStr">
        <is>
          <t>Libro</t>
        </is>
      </c>
      <c r="O111" s="5" t="inlineStr">
        <is>
          <t>Básica</t>
        </is>
      </c>
      <c r="P111" s="5" t="n"/>
      <c r="Q111" s="5" t="n"/>
      <c r="R111" s="5" t="n"/>
    </row>
    <row r="112">
      <c r="A112" s="5" t="n">
        <v>7</v>
      </c>
      <c r="B112" s="5" t="inlineStr">
        <is>
          <t>DV4NNN</t>
        </is>
      </c>
      <c r="C112" s="5" t="inlineStr">
        <is>
          <t>Inteligencia Artificial Aplicada al Diseño Visual</t>
        </is>
      </c>
      <c r="D112" s="5" t="inlineStr">
        <is>
          <t>Certificado</t>
        </is>
      </c>
      <c r="E112" s="5" t="inlineStr">
        <is>
          <t>Interdisciplinaria</t>
        </is>
      </c>
      <c r="F112" s="5" t="inlineStr">
        <is>
          <t>6</t>
        </is>
      </c>
      <c r="G112" s="5" t="inlineStr">
        <is>
          <t>Mitchell, Melanie</t>
        </is>
      </c>
      <c r="H112" s="5" t="inlineStr">
        <is>
          <t>Artificial Intelligence: A Guide for Thinking Humans</t>
        </is>
      </c>
      <c r="I112" s="5" t="inlineStr">
        <is>
          <t>Picador</t>
        </is>
      </c>
      <c r="J112" s="5" t="inlineStr">
        <is>
          <t>2020</t>
        </is>
      </c>
      <c r="K112" s="5" t="inlineStr">
        <is>
          <t>1ª</t>
        </is>
      </c>
      <c r="L112" s="5" t="inlineStr">
        <is>
          <t>978-1250758040</t>
        </is>
      </c>
      <c r="M112" s="5" t="inlineStr">
        <is>
          <t>Inglés</t>
        </is>
      </c>
      <c r="N112" s="5" t="inlineStr">
        <is>
          <t>Libro</t>
        </is>
      </c>
      <c r="O112" s="5" t="inlineStr">
        <is>
          <t>Complementaria</t>
        </is>
      </c>
      <c r="P112" s="5" t="n"/>
      <c r="Q112" s="5" t="n"/>
      <c r="R112" s="5" t="n"/>
    </row>
    <row r="113">
      <c r="A113" s="5" t="n">
        <v>7</v>
      </c>
      <c r="B113" s="5" t="inlineStr">
        <is>
          <t>DV4NNN</t>
        </is>
      </c>
      <c r="C113" s="5" t="inlineStr">
        <is>
          <t>Inteligencia Artificial Aplicada al Diseño Visual</t>
        </is>
      </c>
      <c r="D113" s="5" t="inlineStr">
        <is>
          <t>Certificado</t>
        </is>
      </c>
      <c r="E113" s="5" t="inlineStr">
        <is>
          <t>Interdisciplinaria</t>
        </is>
      </c>
      <c r="F113" s="5" t="inlineStr">
        <is>
          <t>6</t>
        </is>
      </c>
      <c r="G113" s="5" t="inlineStr">
        <is>
          <t>Adobe (recurso institucional)</t>
        </is>
      </c>
      <c r="H113" s="5" t="inlineStr">
        <is>
          <t>Generative AI for Design — Documentation and best practices</t>
        </is>
      </c>
      <c r="I113" s="5" t="inlineStr">
        <is>
          <t>Adobe</t>
        </is>
      </c>
      <c r="J113" s="5" t="inlineStr">
        <is>
          <t>2024</t>
        </is>
      </c>
      <c r="K113" s="5" t="inlineStr">
        <is>
          <t>—</t>
        </is>
      </c>
      <c r="L113" s="5" t="inlineStr">
        <is>
          <t>—</t>
        </is>
      </c>
      <c r="M113" s="5" t="inlineStr">
        <is>
          <t>Inglés</t>
        </is>
      </c>
      <c r="N113" s="5" t="inlineStr">
        <is>
          <t>Recurso digital</t>
        </is>
      </c>
      <c r="O113" s="5" t="inlineStr">
        <is>
          <t>Complementaria</t>
        </is>
      </c>
      <c r="P113" s="5" t="n"/>
      <c r="Q113" s="5" t="n"/>
      <c r="R113" s="5" t="n"/>
    </row>
    <row r="114">
      <c r="A114" s="4" t="n">
        <v>7</v>
      </c>
      <c r="B114" s="4" t="inlineStr">
        <is>
          <t>CG4NNN</t>
        </is>
      </c>
      <c r="C114" s="4" t="inlineStr">
        <is>
          <t>Conocimiento General</t>
        </is>
      </c>
      <c r="D114" s="4" t="inlineStr">
        <is>
          <t>Conocimiento General</t>
        </is>
      </c>
      <c r="E114" s="4" t="inlineStr">
        <is>
          <t>Conocimiento General</t>
        </is>
      </c>
      <c r="F114" s="4" t="inlineStr">
        <is>
          <t>6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>
      <c r="A115" s="3" t="n">
        <v>8</v>
      </c>
      <c r="B115" s="3" t="inlineStr">
        <is>
          <t>DV4NNN</t>
        </is>
      </c>
      <c r="C115" s="3" t="inlineStr">
        <is>
          <t>Estudio Integral de Diseño</t>
        </is>
      </c>
      <c r="D115" s="3" t="inlineStr">
        <is>
          <t>Estudio</t>
        </is>
      </c>
      <c r="E115" s="3" t="inlineStr">
        <is>
          <t>Profesional</t>
        </is>
      </c>
      <c r="F115" s="3" t="inlineStr">
        <is>
          <t>12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4" t="n">
        <v>8</v>
      </c>
      <c r="B116" s="4" t="inlineStr">
        <is>
          <t>DV4NNN</t>
        </is>
      </c>
      <c r="C116" s="4" t="inlineStr">
        <is>
          <t>Estrategia de Negocios para el Diseño</t>
        </is>
      </c>
      <c r="D116" s="4" t="inlineStr">
        <is>
          <t>Sinergia</t>
        </is>
      </c>
      <c r="E116" s="4" t="inlineStr">
        <is>
          <t>Profesional</t>
        </is>
      </c>
      <c r="F116" s="4" t="inlineStr">
        <is>
          <t>6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>
      <c r="A117" s="5" t="n">
        <v>8</v>
      </c>
      <c r="B117" s="5" t="inlineStr">
        <is>
          <t>DV4NNN</t>
        </is>
      </c>
      <c r="C117" s="5" t="inlineStr">
        <is>
          <t>Diseño y Negocios Creativos</t>
        </is>
      </c>
      <c r="D117" s="5" t="inlineStr">
        <is>
          <t>Certificado</t>
        </is>
      </c>
      <c r="E117" s="5" t="inlineStr">
        <is>
          <t>Interdisciplinaria</t>
        </is>
      </c>
      <c r="F117" s="5" t="inlineStr">
        <is>
          <t>6</t>
        </is>
      </c>
      <c r="G117" s="5" t="inlineStr">
        <is>
          <t>Ries, Eric</t>
        </is>
      </c>
      <c r="H117" s="5" t="inlineStr">
        <is>
          <t>El método Lean Startup</t>
        </is>
      </c>
      <c r="I117" s="5" t="inlineStr">
        <is>
          <t>Deusto</t>
        </is>
      </c>
      <c r="J117" s="5" t="inlineStr">
        <is>
          <t>2012</t>
        </is>
      </c>
      <c r="K117" s="5" t="inlineStr">
        <is>
          <t>1ª</t>
        </is>
      </c>
      <c r="L117" s="5" t="inlineStr">
        <is>
          <t>978-8423409495</t>
        </is>
      </c>
      <c r="M117" s="5" t="inlineStr">
        <is>
          <t>Español</t>
        </is>
      </c>
      <c r="N117" s="5" t="inlineStr">
        <is>
          <t>Libro</t>
        </is>
      </c>
      <c r="O117" s="5" t="inlineStr">
        <is>
          <t>Básica</t>
        </is>
      </c>
      <c r="P117" s="5" t="n"/>
      <c r="Q117" s="5" t="n"/>
      <c r="R117" s="5" t="n"/>
    </row>
    <row r="118">
      <c r="A118" s="5" t="n">
        <v>8</v>
      </c>
      <c r="B118" s="5" t="inlineStr">
        <is>
          <t>DV4NNN</t>
        </is>
      </c>
      <c r="C118" s="5" t="inlineStr">
        <is>
          <t>Diseño y Negocios Creativos</t>
        </is>
      </c>
      <c r="D118" s="5" t="inlineStr">
        <is>
          <t>Certificado</t>
        </is>
      </c>
      <c r="E118" s="5" t="inlineStr">
        <is>
          <t>Interdisciplinaria</t>
        </is>
      </c>
      <c r="F118" s="5" t="inlineStr">
        <is>
          <t>6</t>
        </is>
      </c>
      <c r="G118" s="5" t="inlineStr">
        <is>
          <t>Osterwalder, Alexander; Pigneur, Yves</t>
        </is>
      </c>
      <c r="H118" s="5" t="inlineStr">
        <is>
          <t>Generación de modelos de negocio</t>
        </is>
      </c>
      <c r="I118" s="5" t="inlineStr">
        <is>
          <t>Deusto</t>
        </is>
      </c>
      <c r="J118" s="5" t="inlineStr">
        <is>
          <t>2011</t>
        </is>
      </c>
      <c r="K118" s="5" t="inlineStr">
        <is>
          <t>1ª</t>
        </is>
      </c>
      <c r="L118" s="5" t="inlineStr">
        <is>
          <t>978-8423427994</t>
        </is>
      </c>
      <c r="M118" s="5" t="inlineStr">
        <is>
          <t>Español</t>
        </is>
      </c>
      <c r="N118" s="5" t="inlineStr">
        <is>
          <t>Libro</t>
        </is>
      </c>
      <c r="O118" s="5" t="inlineStr">
        <is>
          <t>Básica</t>
        </is>
      </c>
      <c r="P118" s="5" t="n"/>
      <c r="Q118" s="5" t="n"/>
      <c r="R118" s="5" t="n"/>
    </row>
    <row r="119">
      <c r="A119" s="5" t="n">
        <v>8</v>
      </c>
      <c r="B119" s="5" t="inlineStr">
        <is>
          <t>DV4NNN</t>
        </is>
      </c>
      <c r="C119" s="5" t="inlineStr">
        <is>
          <t>Diseño y Negocios Creativos</t>
        </is>
      </c>
      <c r="D119" s="5" t="inlineStr">
        <is>
          <t>Certificado</t>
        </is>
      </c>
      <c r="E119" s="5" t="inlineStr">
        <is>
          <t>Interdisciplinaria</t>
        </is>
      </c>
      <c r="F119" s="5" t="inlineStr">
        <is>
          <t>6</t>
        </is>
      </c>
      <c r="G119" s="5" t="inlineStr">
        <is>
          <t>Maurya, Ash</t>
        </is>
      </c>
      <c r="H119" s="5" t="inlineStr">
        <is>
          <t>Running Lean</t>
        </is>
      </c>
      <c r="I119" s="5" t="inlineStr">
        <is>
          <t>O'Reilly</t>
        </is>
      </c>
      <c r="J119" s="5" t="inlineStr">
        <is>
          <t>2022</t>
        </is>
      </c>
      <c r="K119" s="5" t="inlineStr">
        <is>
          <t>3ª</t>
        </is>
      </c>
      <c r="L119" s="5" t="inlineStr">
        <is>
          <t>978-1098108779</t>
        </is>
      </c>
      <c r="M119" s="5" t="inlineStr">
        <is>
          <t>Inglés</t>
        </is>
      </c>
      <c r="N119" s="5" t="inlineStr">
        <is>
          <t>Libro</t>
        </is>
      </c>
      <c r="O119" s="5" t="inlineStr">
        <is>
          <t>Básica</t>
        </is>
      </c>
      <c r="P119" s="5" t="n"/>
      <c r="Q119" s="5" t="n"/>
      <c r="R119" s="5" t="n"/>
    </row>
    <row r="120">
      <c r="A120" s="5" t="n">
        <v>8</v>
      </c>
      <c r="B120" s="5" t="inlineStr">
        <is>
          <t>DV4NNN</t>
        </is>
      </c>
      <c r="C120" s="5" t="inlineStr">
        <is>
          <t>Diseño y Negocios Creativos</t>
        </is>
      </c>
      <c r="D120" s="5" t="inlineStr">
        <is>
          <t>Certificado</t>
        </is>
      </c>
      <c r="E120" s="5" t="inlineStr">
        <is>
          <t>Interdisciplinaria</t>
        </is>
      </c>
      <c r="F120" s="5" t="inlineStr">
        <is>
          <t>6</t>
        </is>
      </c>
      <c r="G120" s="5" t="inlineStr">
        <is>
          <t>Kawasaki, Guy</t>
        </is>
      </c>
      <c r="H120" s="5" t="inlineStr">
        <is>
          <t>El arte de empezar 2.0</t>
        </is>
      </c>
      <c r="I120" s="5" t="inlineStr">
        <is>
          <t>Deusto</t>
        </is>
      </c>
      <c r="J120" s="5" t="inlineStr">
        <is>
          <t>2015</t>
        </is>
      </c>
      <c r="K120" s="5" t="inlineStr">
        <is>
          <t>1ª</t>
        </is>
      </c>
      <c r="L120" s="5" t="inlineStr">
        <is>
          <t>978-8423424528</t>
        </is>
      </c>
      <c r="M120" s="5" t="inlineStr">
        <is>
          <t>Español</t>
        </is>
      </c>
      <c r="N120" s="5" t="inlineStr">
        <is>
          <t>Libro</t>
        </is>
      </c>
      <c r="O120" s="5" t="inlineStr">
        <is>
          <t>Complementaria</t>
        </is>
      </c>
      <c r="P120" s="5" t="n"/>
      <c r="Q120" s="5" t="n"/>
      <c r="R120" s="5" t="n"/>
    </row>
    <row r="121">
      <c r="A121" s="5" t="n">
        <v>8</v>
      </c>
      <c r="B121" s="5" t="inlineStr">
        <is>
          <t>DV4NNN</t>
        </is>
      </c>
      <c r="C121" s="5" t="inlineStr">
        <is>
          <t>Diseño y Negocios Creativos</t>
        </is>
      </c>
      <c r="D121" s="5" t="inlineStr">
        <is>
          <t>Certificado</t>
        </is>
      </c>
      <c r="E121" s="5" t="inlineStr">
        <is>
          <t>Interdisciplinaria</t>
        </is>
      </c>
      <c r="F121" s="5" t="inlineStr">
        <is>
          <t>6</t>
        </is>
      </c>
      <c r="G121" s="5" t="inlineStr">
        <is>
          <t>Brown, Tim</t>
        </is>
      </c>
      <c r="H121" s="5" t="inlineStr">
        <is>
          <t>Change by Design</t>
        </is>
      </c>
      <c r="I121" s="5" t="inlineStr">
        <is>
          <t>Harper Business</t>
        </is>
      </c>
      <c r="J121" s="5" t="inlineStr">
        <is>
          <t>2019</t>
        </is>
      </c>
      <c r="K121" s="5" t="inlineStr">
        <is>
          <t>2ª</t>
        </is>
      </c>
      <c r="L121" s="5" t="inlineStr">
        <is>
          <t>978-0062856623</t>
        </is>
      </c>
      <c r="M121" s="5" t="inlineStr">
        <is>
          <t>Inglés</t>
        </is>
      </c>
      <c r="N121" s="5" t="inlineStr">
        <is>
          <t>Libro</t>
        </is>
      </c>
      <c r="O121" s="5" t="inlineStr">
        <is>
          <t>Complementaria</t>
        </is>
      </c>
      <c r="P121" s="5" t="n"/>
      <c r="Q121" s="5" t="n"/>
      <c r="R121" s="5" t="n"/>
    </row>
    <row r="122">
      <c r="A122" s="5" t="n">
        <v>8</v>
      </c>
      <c r="B122" s="5" t="inlineStr">
        <is>
          <t>DV4NNN</t>
        </is>
      </c>
      <c r="C122" s="5" t="inlineStr">
        <is>
          <t>Diseño y Negocios Creativos</t>
        </is>
      </c>
      <c r="D122" s="5" t="inlineStr">
        <is>
          <t>Certificado</t>
        </is>
      </c>
      <c r="E122" s="5" t="inlineStr">
        <is>
          <t>Interdisciplinaria</t>
        </is>
      </c>
      <c r="F122" s="5" t="inlineStr">
        <is>
          <t>6</t>
        </is>
      </c>
      <c r="G122" s="5" t="inlineStr">
        <is>
          <t>Heath, Chip; Heath, Dan</t>
        </is>
      </c>
      <c r="H122" s="5" t="inlineStr">
        <is>
          <t>Made to Stick: Why Some Ideas Survive and Others Die</t>
        </is>
      </c>
      <c r="I122" s="5" t="inlineStr">
        <is>
          <t>Random House</t>
        </is>
      </c>
      <c r="J122" s="5" t="inlineStr">
        <is>
          <t>2008</t>
        </is>
      </c>
      <c r="K122" s="5" t="inlineStr">
        <is>
          <t>1ª</t>
        </is>
      </c>
      <c r="L122" s="5" t="inlineStr">
        <is>
          <t>978-1400064281</t>
        </is>
      </c>
      <c r="M122" s="5" t="inlineStr">
        <is>
          <t>Inglés</t>
        </is>
      </c>
      <c r="N122" s="5" t="inlineStr">
        <is>
          <t>Libro</t>
        </is>
      </c>
      <c r="O122" s="5" t="inlineStr">
        <is>
          <t>Complementaria</t>
        </is>
      </c>
      <c r="P122" s="5" t="n"/>
      <c r="Q122" s="5" t="n"/>
      <c r="R122" s="5" t="n"/>
    </row>
    <row r="123">
      <c r="A123" s="3" t="n">
        <v>8</v>
      </c>
      <c r="B123" s="3" t="inlineStr">
        <is>
          <t>DV4NNN</t>
        </is>
      </c>
      <c r="C123" s="3" t="inlineStr">
        <is>
          <t>Programa de Evaluación Final I</t>
        </is>
      </c>
      <c r="D123" s="3" t="inlineStr">
        <is>
          <t>Proyecto Terminal</t>
        </is>
      </c>
      <c r="E123" s="3" t="inlineStr">
        <is>
          <t>Profesional</t>
        </is>
      </c>
      <c r="F123" s="3" t="inlineStr">
        <is>
          <t>6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4" t="n">
        <v>8</v>
      </c>
      <c r="B124" s="4" t="inlineStr">
        <is>
          <t>CG4NNN</t>
        </is>
      </c>
      <c r="C124" s="4" t="inlineStr">
        <is>
          <t>Conocimiento General</t>
        </is>
      </c>
      <c r="D124" s="4" t="inlineStr">
        <is>
          <t>Conocimiento General</t>
        </is>
      </c>
      <c r="E124" s="4" t="inlineStr">
        <is>
          <t>Conocimiento General</t>
        </is>
      </c>
      <c r="F124" s="4" t="inlineStr">
        <is>
          <t>6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>
      <c r="A125" s="3" t="n">
        <v>9</v>
      </c>
      <c r="B125" s="3" t="inlineStr">
        <is>
          <t>DV5NNN</t>
        </is>
      </c>
      <c r="C125" s="3" t="inlineStr">
        <is>
          <t>Programa de Evaluación Final II</t>
        </is>
      </c>
      <c r="D125" s="3" t="inlineStr">
        <is>
          <t>Proyecto Terminal</t>
        </is>
      </c>
      <c r="E125" s="3" t="inlineStr">
        <is>
          <t>Profesional</t>
        </is>
      </c>
      <c r="F125" s="3" t="inlineStr">
        <is>
          <t>6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4" t="n">
        <v>9</v>
      </c>
      <c r="B126" s="4" t="inlineStr">
        <is>
          <t>CG5NNN</t>
        </is>
      </c>
      <c r="C126" s="4" t="inlineStr">
        <is>
          <t>Conocimiento General</t>
        </is>
      </c>
      <c r="D126" s="4" t="inlineStr">
        <is>
          <t>Conocimiento General</t>
        </is>
      </c>
      <c r="E126" s="4" t="inlineStr">
        <is>
          <t>Conocimiento General</t>
        </is>
      </c>
      <c r="F126" s="4" t="inlineStr">
        <is>
          <t>6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</sheetData>
  <mergeCells count="1">
    <mergeCell ref="A1:R1"/>
  </mergeCells>
  <conditionalFormatting sqref="A4:R75">
    <cfRule type="expression" priority="1" dxfId="0">
      <formula>$P4="No"</formula>
    </cfRule>
    <cfRule type="expression" priority="2" dxfId="1">
      <formula>$P4="Sí"</formula>
    </cfRule>
  </conditionalFormatting>
  <dataValidations count="5">
    <dataValidation sqref="M4:M75" showDropDown="0" showInputMessage="0" showErrorMessage="0" allowBlank="1" type="list">
      <formula1>"Español,Inglés,Francés,Alemán,Italiano,Portugués"</formula1>
    </dataValidation>
    <dataValidation sqref="N4:N75" showDropDown="0" showInputMessage="0" showErrorMessage="0" allowBlank="1" type="list">
      <formula1>"Libro,Capítulo de libro,Artículo,Artículo arbitrado,Recurso digital,Norma técnica,Audiovisual,Tesis,Reporte"</formula1>
    </dataValidation>
    <dataValidation sqref="O4:O75" showDropDown="0" showInputMessage="0" showErrorMessage="0" allowBlank="1" type="list">
      <formula1>"Básica,Complementaria"</formula1>
    </dataValidation>
    <dataValidation sqref="P4:P75" showDropDown="0" showInputMessage="0" showErrorMessage="0" allowBlank="1" type="list">
      <formula1>"Sí,No,Por verificar"</formula1>
    </dataValidation>
    <dataValidation sqref="Q4:Q75" showDropDown="0" showInputMessage="0" showErrorMessage="0" allowBlank="1" type="list">
      <formula1>"Mantener,Solicitar,Renovar edición,Sustituir,Eliminar"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</cols>
  <sheetData>
    <row r="1" ht="30" customHeight="1">
      <c r="A1" s="1" t="inlineStr">
        <is>
          <t>LDV 2027 · RESUMEN EJECUTIVO DE BIBLIOGRAFÍA</t>
        </is>
      </c>
    </row>
    <row r="3">
      <c r="A3" s="6" t="inlineStr">
        <is>
          <t>Indicador</t>
        </is>
      </c>
      <c r="B3" s="6" t="inlineStr">
        <is>
          <t>Valor</t>
        </is>
      </c>
      <c r="C3" s="6" t="inlineStr">
        <is>
          <t>Notas</t>
        </is>
      </c>
    </row>
    <row r="4">
      <c r="A4" s="7" t="inlineStr">
        <is>
          <t>Total de materias del programa</t>
        </is>
      </c>
      <c r="B4" s="8">
        <f>COUNTA(Bibliografía!C4:C500)-COUNTBLANK(Bibliografía!C4:C500)+0</f>
        <v/>
      </c>
      <c r="C4" s="7" t="inlineStr">
        <is>
          <t>Se cuenta por filas únicas</t>
        </is>
      </c>
    </row>
    <row r="5">
      <c r="A5" s="7" t="inlineStr">
        <is>
          <t>Total de referencias registradas</t>
        </is>
      </c>
      <c r="B5" s="8">
        <f>COUNTA(Bibliografía!H4:H500)</f>
        <v/>
      </c>
      <c r="C5" s="7" t="inlineStr">
        <is>
          <t>Cuenta de títulos no vacíos</t>
        </is>
      </c>
    </row>
    <row r="6">
      <c r="A6" s="7" t="inlineStr">
        <is>
          <t>Referencias básicas</t>
        </is>
      </c>
      <c r="B6" s="8">
        <f>COUNTIF(Bibliografía!O4:O500,"Básica")</f>
        <v/>
      </c>
      <c r="C6" s="7" t="inlineStr"/>
    </row>
    <row r="7">
      <c r="A7" s="7" t="inlineStr">
        <is>
          <t>Referencias complementarias</t>
        </is>
      </c>
      <c r="B7" s="8">
        <f>COUNTIF(Bibliografía!O4:O500,"Complementaria")</f>
        <v/>
      </c>
      <c r="C7" s="7" t="inlineStr"/>
    </row>
    <row r="8">
      <c r="A8" s="7" t="inlineStr">
        <is>
          <t>Referencias en español</t>
        </is>
      </c>
      <c r="B8" s="8">
        <f>COUNTIF(Bibliografía!M4:M500,"Español")</f>
        <v/>
      </c>
      <c r="C8" s="7" t="inlineStr"/>
    </row>
    <row r="9">
      <c r="A9" s="7" t="inlineStr">
        <is>
          <t>Referencias en inglés</t>
        </is>
      </c>
      <c r="B9" s="8">
        <f>COUNTIF(Bibliografía!M4:M500,"Inglés")</f>
        <v/>
      </c>
      <c r="C9" s="7" t="inlineStr"/>
    </row>
    <row r="10">
      <c r="A10" s="7" t="inlineStr">
        <is>
          <t>Disponibles en Biblioteca CRGS</t>
        </is>
      </c>
      <c r="B10" s="8">
        <f>COUNTIF(Bibliografía!P4:P500,"Sí")</f>
        <v/>
      </c>
      <c r="C10" s="7" t="inlineStr"/>
    </row>
    <row r="11">
      <c r="A11" s="7" t="inlineStr">
        <is>
          <t>Por solicitar a Biblioteca CRGS</t>
        </is>
      </c>
      <c r="B11" s="8">
        <f>COUNTIF(Bibliografía!P4:P500,"No")</f>
        <v/>
      </c>
      <c r="C11" s="7" t="inlineStr"/>
    </row>
    <row r="12">
      <c r="A12" s="7" t="inlineStr">
        <is>
          <t>Por verificar</t>
        </is>
      </c>
      <c r="B12" s="8">
        <f>COUNTIF(Bibliografía!P4:P500,"Por verificar")</f>
        <v/>
      </c>
      <c r="C12" s="7" t="inlineStr"/>
    </row>
    <row r="13">
      <c r="A13" s="7" t="inlineStr"/>
      <c r="B13" s="8" t="inlineStr"/>
      <c r="C13" s="7" t="inlineStr"/>
    </row>
    <row r="14">
      <c r="A14" s="6" t="inlineStr">
        <is>
          <t>Por Eje de Formación</t>
        </is>
      </c>
      <c r="B14" s="6" t="inlineStr"/>
      <c r="C14" s="6" t="inlineStr"/>
    </row>
    <row r="15">
      <c r="A15" s="7" t="inlineStr">
        <is>
          <t>Eje Profesional</t>
        </is>
      </c>
      <c r="B15" s="8">
        <f>COUNTIF(Bibliografía!E4:E500,"Profesional")</f>
        <v/>
      </c>
      <c r="C15" s="7" t="inlineStr"/>
    </row>
    <row r="16">
      <c r="A16" s="7" t="inlineStr">
        <is>
          <t>Eje Interdisciplinaria (Certificado)</t>
        </is>
      </c>
      <c r="B16" s="8">
        <f>COUNTIF(Bibliografía!E4:E500,"Interdisciplinaria")</f>
        <v/>
      </c>
      <c r="C16" s="7" t="inlineStr"/>
    </row>
    <row r="17">
      <c r="A17" s="7" t="inlineStr">
        <is>
          <t>Eje UDEM</t>
        </is>
      </c>
      <c r="B17" s="8">
        <f>COUNTIF(Bibliografía!E4:E500,"UDEM")</f>
        <v/>
      </c>
      <c r="C17" s="7" t="inlineStr"/>
    </row>
    <row r="18">
      <c r="A18" s="7" t="inlineStr">
        <is>
          <t>Eje Conocimiento General</t>
        </is>
      </c>
      <c r="B18" s="8">
        <f>COUNTIF(Bibliografía!E4:E500,"Conocimiento General")</f>
        <v/>
      </c>
      <c r="C18" s="7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8" customWidth="1" min="4" max="4"/>
    <col width="22" customWidth="1" min="5" max="5"/>
    <col width="38" customWidth="1" min="6" max="6"/>
    <col width="18" customWidth="1" min="7" max="7"/>
    <col width="7" customWidth="1" min="8" max="8"/>
    <col width="10" customWidth="1" min="9" max="9"/>
    <col width="18" customWidth="1" min="10" max="10"/>
    <col width="10" customWidth="1" min="11" max="11"/>
    <col width="50" customWidth="1" min="12" max="12"/>
  </cols>
  <sheetData>
    <row r="1" ht="30" customHeight="1">
      <c r="A1" s="1" t="inlineStr">
        <is>
          <t>LDV 2027 · SOLICITUD DE BIBLIOGRAFÍA BÁSICA A CRGS</t>
        </is>
      </c>
    </row>
    <row r="2">
      <c r="A2" s="9" t="inlineStr">
        <is>
          <t>Instrucciones: filtrar la Hoja "Bibliografía" por columna "Disponible en Biblioteca = No" y copiar las filas filtradas aquí. Esta hoja se envía a Biblioteca CRGS.</t>
        </is>
      </c>
    </row>
    <row r="4" ht="32" customHeight="1">
      <c r="A4" s="2" t="inlineStr">
        <is>
          <t>Sem</t>
        </is>
      </c>
      <c r="B4" s="2" t="inlineStr">
        <is>
          <t>Clave</t>
        </is>
      </c>
      <c r="C4" s="2" t="inlineStr">
        <is>
          <t>Materia</t>
        </is>
      </c>
      <c r="D4" s="2" t="inlineStr">
        <is>
          <t>Eje</t>
        </is>
      </c>
      <c r="E4" s="2" t="inlineStr">
        <is>
          <t>Autor</t>
        </is>
      </c>
      <c r="F4" s="2" t="inlineStr">
        <is>
          <t>Título</t>
        </is>
      </c>
      <c r="G4" s="2" t="inlineStr">
        <is>
          <t>Editorial</t>
        </is>
      </c>
      <c r="H4" s="2" t="inlineStr">
        <is>
          <t>Año</t>
        </is>
      </c>
      <c r="I4" s="2" t="inlineStr">
        <is>
          <t>Edición</t>
        </is>
      </c>
      <c r="J4" s="2" t="inlineStr">
        <is>
          <t>ISBN</t>
        </is>
      </c>
      <c r="K4" s="2" t="inlineStr">
        <is>
          <t>Prioridad</t>
        </is>
      </c>
      <c r="L4" s="2" t="inlineStr">
        <is>
          <t>Justificación</t>
        </is>
      </c>
    </row>
  </sheetData>
  <mergeCells count="2">
    <mergeCell ref="A2:K2"/>
    <mergeCell ref="A1:K1"/>
  </mergeCells>
  <dataValidations count="1">
    <dataValidation sqref="K5:K2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7" customWidth="1" min="4" max="4"/>
    <col width="10" customWidth="1" min="5" max="5"/>
    <col width="18" customWidth="1" min="6" max="6"/>
    <col width="10" customWidth="1" min="7" max="7"/>
    <col width="26" customWidth="1" min="8" max="8"/>
  </cols>
  <sheetData>
    <row r="1" ht="30" customHeight="1">
      <c r="A1" s="1" t="inlineStr">
        <is>
          <t>CATÁLOGO ACTUAL DE BIBLIOTECA CRGS</t>
        </is>
      </c>
    </row>
    <row r="2">
      <c r="A2" s="9" t="inlineStr">
        <is>
          <t>Pegar aquí el inventario actual proporcionado por Biblioteca CRGS para cotejar contra la Hoja Bibliografía.</t>
        </is>
      </c>
    </row>
    <row r="4" ht="32" customHeight="1">
      <c r="A4" s="2" t="inlineStr">
        <is>
          <t>Autor</t>
        </is>
      </c>
      <c r="B4" s="2" t="inlineStr">
        <is>
          <t>Título</t>
        </is>
      </c>
      <c r="C4" s="2" t="inlineStr">
        <is>
          <t>Editorial</t>
        </is>
      </c>
      <c r="D4" s="2" t="inlineStr">
        <is>
          <t>Año</t>
        </is>
      </c>
      <c r="E4" s="2" t="inlineStr">
        <is>
          <t>Edición</t>
        </is>
      </c>
      <c r="F4" s="2" t="inlineStr">
        <is>
          <t>ISBN</t>
        </is>
      </c>
      <c r="G4" s="2" t="inlineStr">
        <is>
          <t>Idioma</t>
        </is>
      </c>
      <c r="H4" s="2" t="inlineStr">
        <is>
          <t>Ubicación / Signatura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50" customWidth="1" min="3" max="3"/>
  </cols>
  <sheetData>
    <row r="1" ht="30" customHeight="1">
      <c r="A1" s="1" t="inlineStr">
        <is>
          <t>VALIDACIÓN DE FUENTES — REGLAS INSTITUCIONALES UDEM</t>
        </is>
      </c>
    </row>
    <row r="3">
      <c r="A3" s="6" t="inlineStr">
        <is>
          <t>Regla</t>
        </is>
      </c>
      <c r="B3" s="6" t="inlineStr">
        <is>
          <t>Cumple</t>
        </is>
      </c>
      <c r="C3" s="6" t="inlineStr">
        <is>
          <t>Notas</t>
        </is>
      </c>
    </row>
    <row r="4">
      <c r="A4" s="7" t="inlineStr">
        <is>
          <t>Mínimo 3 referencias básicas por materia</t>
        </is>
      </c>
      <c r="B4" s="7" t="inlineStr">
        <is>
          <t>Por validar</t>
        </is>
      </c>
      <c r="C4" s="7" t="inlineStr">
        <is>
          <t>Aplica a las 46 materias del programa</t>
        </is>
      </c>
    </row>
    <row r="5">
      <c r="A5" s="7" t="inlineStr">
        <is>
          <t>Mínimo 50% de referencias en últimos 10 años</t>
        </is>
      </c>
      <c r="B5" s="7" t="inlineStr">
        <is>
          <t>Por validar</t>
        </is>
      </c>
      <c r="C5" s="7" t="inlineStr">
        <is>
          <t>Calcular sobre el total de referencias básicas</t>
        </is>
      </c>
    </row>
    <row r="6">
      <c r="A6" s="7" t="inlineStr">
        <is>
          <t>Al menos 1 referencia en español por materia</t>
        </is>
      </c>
      <c r="B6" s="7" t="inlineStr">
        <is>
          <t>Por validar</t>
        </is>
      </c>
      <c r="C6" s="7" t="inlineStr"/>
    </row>
    <row r="7">
      <c r="A7" s="7" t="inlineStr">
        <is>
          <t>Sin referencias con ISBN inválido</t>
        </is>
      </c>
      <c r="B7" s="7" t="inlineStr">
        <is>
          <t>Por validar</t>
        </is>
      </c>
      <c r="C7" s="7" t="inlineStr">
        <is>
          <t>Verificar formato ISBN-10 o ISBN-13</t>
        </is>
      </c>
    </row>
    <row r="8">
      <c r="A8" s="7" t="inlineStr">
        <is>
          <t>Sin duplicados entre materias del mismo eje</t>
        </is>
      </c>
      <c r="B8" s="7" t="inlineStr">
        <is>
          <t>Por validar</t>
        </is>
      </c>
      <c r="C8" s="7" t="inlineStr">
        <is>
          <t>Revisar coherencia y no repetición innecesaria</t>
        </is>
      </c>
    </row>
    <row r="9">
      <c r="A9" s="7" t="inlineStr">
        <is>
          <t>Todas las referencias clasificadas (Básica/Complementaria)</t>
        </is>
      </c>
      <c r="B9" s="7" t="inlineStr">
        <is>
          <t>Por validar</t>
        </is>
      </c>
      <c r="C9" s="7" t="inlineStr"/>
    </row>
    <row r="10">
      <c r="A10" s="7" t="inlineStr">
        <is>
          <t>Todas las referencias con idioma definido</t>
        </is>
      </c>
      <c r="B10" s="7" t="inlineStr">
        <is>
          <t>Por validar</t>
        </is>
      </c>
      <c r="C10" s="7" t="inlineStr"/>
    </row>
    <row r="11">
      <c r="A11" s="7" t="inlineStr">
        <is>
          <t>Todas las referencias revisadas contra catálogo CRGS</t>
        </is>
      </c>
      <c r="B11" s="7" t="inlineStr">
        <is>
          <t>Por validar</t>
        </is>
      </c>
      <c r="C11" s="7" t="inlineStr">
        <is>
          <t>Marcar Sí/No en Hoja Bibliografía</t>
        </is>
      </c>
    </row>
  </sheetData>
  <mergeCells count="1">
    <mergeCell ref="A1:C1"/>
  </mergeCells>
  <dataValidations count="1">
    <dataValidation sqref="B4:B11" showDropDown="0" showInputMessage="0" showErrorMessage="0" allowBlank="1" type="list">
      <formula1>"Por validar,Sí,No,Parcial"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2026-05-17T20:20:34Z</dcterms:created>
  <dcterms:modified xmlns:dcterms="http://purl.org/dc/terms/" xmlns:xsi="http://www.w3.org/2001/XMLSchema-instance" xsi:type="dcterms:W3CDTF">2026-05-17T22:42:58Z</dcterms:modified>
</cp:coreProperties>
</file>